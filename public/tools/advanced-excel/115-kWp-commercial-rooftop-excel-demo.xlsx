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usama\Desktop\Advanced Excel project\"/>
    </mc:Choice>
  </mc:AlternateContent>
  <xr:revisionPtr revIDLastSave="0" documentId="8_{1765BE9F-1F07-44F8-A068-1CE052C8A626}" xr6:coauthVersionLast="47" xr6:coauthVersionMax="47" xr10:uidLastSave="{00000000-0000-0000-0000-000000000000}"/>
  <bookViews>
    <workbookView xWindow="0" yWindow="0" windowWidth="23040" windowHeight="12960" xr2:uid="{C5C0FF37-B7F9-4D5A-A816-C3B81CCD6E59}"/>
  </bookViews>
  <sheets>
    <sheet name="Dashboard" sheetId="1" r:id="rId1"/>
    <sheet name="Design" sheetId="2" r:id="rId2"/>
    <sheet name="BOM" sheetId="3" r:id="rId3"/>
    <sheet name="Procurement" sheetId="4" r:id="rId4"/>
    <sheet name="Cost Control" sheetId="5" r:id="rId5"/>
    <sheet name="Analysis" sheetId="6" r:id="rId6"/>
    <sheet name="Data" sheetId="7" r:id="rId7"/>
  </sheets>
  <definedNames>
    <definedName name="ACLen">Design!$C$14</definedName>
    <definedName name="ActionList">_xlfn.LET(_xlpm.s,tblProc[Status],_xlpm.keep,(_xlpm.s="Order overdue")+(_xlpm.s="Late delivery")+(_xlpm.s="Order due"),_xlpm.rank,IFERROR(_xlfn.XMATCH(_xlpm.s,{"Late delivery";"Order overdue";"Order due"}),9),_xlfn.SORTBY(_xlfn._xlws.FILTER(_xlfn.CHOOSECOLS(tblProc[#Data],1,2,3,6,11,10),_xlpm.keep),_xlfn._xlws.FILTER(_xlpm.rank,_xlpm.keep),1,_xlfn._xlws.FILTER(tblProc[Order by],_xlpm.keep),1))</definedName>
    <definedName name="AttachSpacing">Design!$C$18</definedName>
    <definedName name="Buffer">Design!$C$24</definedName>
    <definedName name="ChecksResult">tblChecks[Result]</definedName>
    <definedName name="DCAC">Design!$K$14</definedName>
    <definedName name="DCkWp">Design!$K$13</definedName>
    <definedName name="ElecCrewDays">Design!$C$21</definedName>
    <definedName name="HomeRun">Design!$C$13</definedName>
    <definedName name="Imp">Design!$G$10</definedName>
    <definedName name="InputsPerMppt">Design!$G$19</definedName>
    <definedName name="InverterList">tblInverters[Model]</definedName>
    <definedName name="InverterModel">Design!$C$7</definedName>
    <definedName name="Inverters">Design!$C$8</definedName>
    <definedName name="Isc">Design!$G$9</definedName>
    <definedName name="MaxDCV">Design!$G$15</definedName>
    <definedName name="MaxIinput">Design!$G$20</definedName>
    <definedName name="MaxImppt">Design!$G$21</definedName>
    <definedName name="MaxIscMppt">Design!$G$22</definedName>
    <definedName name="MaxMods">Design!$K$9</definedName>
    <definedName name="MilestoneList">tblMilestones[Milestone]</definedName>
    <definedName name="MinMods">Design!$K$10</definedName>
    <definedName name="ModGap">Design!$C$17</definedName>
    <definedName name="ModMaxV">Design!$G$13</definedName>
    <definedName name="ModsPerCrewDay">Design!$C$20</definedName>
    <definedName name="ModsPerString">Design!$C$12</definedName>
    <definedName name="ModuleList">tblModules[Model]</definedName>
    <definedName name="ModuleModel">Design!$C$6</definedName>
    <definedName name="Modules">Design!$K$12</definedName>
    <definedName name="ModW">Design!$G$12</definedName>
    <definedName name="MpptMax">Design!$G$17</definedName>
    <definedName name="MpptMin">Design!$G$16</definedName>
    <definedName name="Mppts">Design!$G$18</definedName>
    <definedName name="Pac">Design!$G$14</definedName>
    <definedName name="Pmax">Design!$G$6</definedName>
    <definedName name="RailLen">Design!$C$16</definedName>
    <definedName name="RailsPerLine">Design!$K$17</definedName>
    <definedName name="RowLen">Design!$K$16</definedName>
    <definedName name="Slicer_Supplier">#N/A</definedName>
    <definedName name="StartDate">Design!$C$22</definedName>
    <definedName name="StatusDate">Design!$C$23</definedName>
    <definedName name="Strings">Design!$K$11</definedName>
    <definedName name="StringsPerMppt">Design!$K$15</definedName>
    <definedName name="TargetRatio">Design!$C$9</definedName>
    <definedName name="TkVoc">Design!$G$11</definedName>
    <definedName name="Tmax">Design!$C$11</definedName>
    <definedName name="Tmin">Design!$C$10</definedName>
    <definedName name="TrayLen">Design!$C$15</definedName>
    <definedName name="Vmp">Design!$G$8</definedName>
    <definedName name="VmpCold">Design!$K$7</definedName>
    <definedName name="VmpHot">Design!$K$8</definedName>
    <definedName name="Voc">Design!$G$7</definedName>
    <definedName name="VocCold">Design!$K$6</definedName>
    <definedName name="Waste">Design!$C$19</definedName>
    <definedName name="WorkdaysBetween">_xlfn.LAMBDA(_xlpm.a,_xlpm.b,_xlfn.LET(_xlpm.n,NETWORKDAYS.INTL(_xlpm.a,_xlpm.b,"0000001"),SIGN(_xlpm.n)*(ABS(_xlpm.n)-1)))</definedName>
  </definedNames>
  <calcPr calcId="191029"/>
  <pivotCaches>
    <pivotCache cacheId="4"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36" i="1" l="1"/>
  <c r="Q35" i="1"/>
  <c r="Q34" i="1"/>
  <c r="Q33" i="1"/>
  <c r="Q32" i="1"/>
  <c r="Q31" i="1"/>
  <c r="Q30" i="1"/>
  <c r="Q29" i="1"/>
  <c r="N36" i="1"/>
  <c r="N35" i="1"/>
  <c r="N34" i="1"/>
  <c r="N33" i="1"/>
  <c r="N32" i="1"/>
  <c r="N31" i="1"/>
  <c r="N30" i="1"/>
  <c r="N29" i="1"/>
  <c r="L36" i="1"/>
  <c r="L35" i="1"/>
  <c r="L34" i="1"/>
  <c r="L33" i="1"/>
  <c r="L32" i="1"/>
  <c r="L31" i="1"/>
  <c r="L30" i="1"/>
  <c r="L29" i="1"/>
  <c r="I36" i="1"/>
  <c r="I35" i="1"/>
  <c r="I34" i="1"/>
  <c r="I33" i="1"/>
  <c r="I32" i="1"/>
  <c r="I31" i="1"/>
  <c r="I30" i="1"/>
  <c r="I29" i="1"/>
  <c r="C36" i="1"/>
  <c r="C35" i="1"/>
  <c r="C34" i="1"/>
  <c r="C33" i="1"/>
  <c r="C32" i="1"/>
  <c r="C31" i="1"/>
  <c r="C30" i="1"/>
  <c r="C29" i="1"/>
  <c r="B36" i="1"/>
  <c r="B35" i="1"/>
  <c r="B34" i="1"/>
  <c r="B33" i="1"/>
  <c r="B32" i="1"/>
  <c r="B31" i="1"/>
  <c r="B30" i="1"/>
  <c r="B29" i="1"/>
  <c r="Q7" i="1"/>
  <c r="Q6" i="1"/>
  <c r="N7" i="1"/>
  <c r="N6" i="1"/>
  <c r="K7" i="1"/>
  <c r="K6" i="1"/>
  <c r="H7" i="1"/>
  <c r="H6" i="1"/>
  <c r="E7" i="1"/>
  <c r="E6" i="1" a="1"/>
  <c r="E6" i="1" s="1"/>
  <c r="B7" i="1"/>
  <c r="B6" i="1"/>
  <c r="B3" i="1"/>
  <c r="O18" i="5" a="1"/>
  <c r="O18" i="5" s="1"/>
  <c r="N18" i="5" a="1"/>
  <c r="N18" i="5" s="1"/>
  <c r="M18" i="5" a="1"/>
  <c r="M18" i="5" s="1"/>
  <c r="Q6" i="5" a="1"/>
  <c r="Q6" i="5" s="1"/>
  <c r="P6" i="5" a="1"/>
  <c r="P6" i="5" s="1"/>
  <c r="O6" i="5" a="1"/>
  <c r="O6" i="5" s="1"/>
  <c r="N6" i="5" a="1"/>
  <c r="N6" i="5" s="1"/>
  <c r="M6" i="5" a="1"/>
  <c r="M6" i="5" s="1"/>
  <c r="I29" i="5"/>
  <c r="H29" i="5"/>
  <c r="G29" i="5"/>
  <c r="F29" i="5"/>
  <c r="E29" i="5"/>
  <c r="J9" i="5"/>
  <c r="J25" i="5"/>
  <c r="I9" i="5"/>
  <c r="I10" i="5"/>
  <c r="J10" i="5" s="1"/>
  <c r="I18" i="5"/>
  <c r="J18" i="5" s="1"/>
  <c r="I25" i="5"/>
  <c r="I26" i="5"/>
  <c r="J26" i="5" s="1"/>
  <c r="H6" i="5"/>
  <c r="H7" i="5"/>
  <c r="H8" i="5"/>
  <c r="H9" i="5"/>
  <c r="H10" i="5"/>
  <c r="H11" i="5"/>
  <c r="H12" i="5"/>
  <c r="H13" i="5"/>
  <c r="H18" i="5"/>
  <c r="H19" i="5"/>
  <c r="H20" i="5"/>
  <c r="H21" i="5"/>
  <c r="H22" i="5"/>
  <c r="H23" i="5"/>
  <c r="H25" i="5"/>
  <c r="H26" i="5"/>
  <c r="H27" i="5"/>
  <c r="H28" i="5"/>
  <c r="E6" i="5"/>
  <c r="I6" i="5" s="1"/>
  <c r="J6" i="5" s="1"/>
  <c r="E7" i="5"/>
  <c r="I7" i="5" s="1"/>
  <c r="J7" i="5" s="1"/>
  <c r="E8" i="5"/>
  <c r="I8" i="5" s="1"/>
  <c r="J8" i="5" s="1"/>
  <c r="E9" i="5"/>
  <c r="E10" i="5"/>
  <c r="E11" i="5"/>
  <c r="I11" i="5" s="1"/>
  <c r="J11" i="5" s="1"/>
  <c r="E12" i="5"/>
  <c r="I12" i="5" s="1"/>
  <c r="J12" i="5" s="1"/>
  <c r="E13" i="5"/>
  <c r="I13" i="5" s="1"/>
  <c r="J13" i="5" s="1"/>
  <c r="E14" i="5"/>
  <c r="E15" i="5"/>
  <c r="H15" i="5" s="1"/>
  <c r="E16" i="5"/>
  <c r="H16" i="5" s="1"/>
  <c r="E17" i="5"/>
  <c r="H17" i="5" s="1"/>
  <c r="I17" i="5" s="1"/>
  <c r="J17" i="5" s="1"/>
  <c r="E18" i="5"/>
  <c r="E19" i="5"/>
  <c r="I19" i="5" s="1"/>
  <c r="J19" i="5" s="1"/>
  <c r="E20" i="5"/>
  <c r="I20" i="5" s="1"/>
  <c r="J20" i="5" s="1"/>
  <c r="E21" i="5"/>
  <c r="I21" i="5" s="1"/>
  <c r="J21" i="5" s="1"/>
  <c r="E22" i="5"/>
  <c r="I22" i="5" s="1"/>
  <c r="J22" i="5" s="1"/>
  <c r="E23" i="5"/>
  <c r="I23" i="5" s="1"/>
  <c r="J23" i="5" s="1"/>
  <c r="E24" i="5"/>
  <c r="H24" i="5" s="1"/>
  <c r="E25" i="5"/>
  <c r="E26" i="5"/>
  <c r="E27" i="5"/>
  <c r="I27" i="5" s="1"/>
  <c r="J27" i="5" s="1"/>
  <c r="E28" i="5"/>
  <c r="I28" i="5" s="1"/>
  <c r="J28" i="5" s="1"/>
  <c r="D6" i="5"/>
  <c r="D7" i="5"/>
  <c r="D8" i="5"/>
  <c r="D9" i="5"/>
  <c r="D10" i="5"/>
  <c r="D11" i="5"/>
  <c r="D12" i="5"/>
  <c r="D13" i="5"/>
  <c r="D14" i="5"/>
  <c r="D15" i="5"/>
  <c r="D16" i="5"/>
  <c r="D17" i="5"/>
  <c r="D18" i="5"/>
  <c r="D19" i="5"/>
  <c r="D20" i="5"/>
  <c r="D21" i="5"/>
  <c r="D22" i="5"/>
  <c r="D23" i="5"/>
  <c r="D24" i="5"/>
  <c r="D25" i="5"/>
  <c r="D26" i="5"/>
  <c r="D27" i="5"/>
  <c r="D28" i="5"/>
  <c r="C6" i="5"/>
  <c r="C7" i="5"/>
  <c r="C8" i="5"/>
  <c r="C9" i="5"/>
  <c r="C10" i="5"/>
  <c r="C11" i="5"/>
  <c r="C12" i="5"/>
  <c r="C13" i="5"/>
  <c r="C14" i="5"/>
  <c r="C15" i="5"/>
  <c r="C16" i="5"/>
  <c r="C17" i="5"/>
  <c r="C18" i="5"/>
  <c r="C19" i="5"/>
  <c r="C20" i="5"/>
  <c r="C21" i="5"/>
  <c r="C22" i="5"/>
  <c r="C23" i="5"/>
  <c r="C24" i="5"/>
  <c r="C25" i="5"/>
  <c r="C26" i="5"/>
  <c r="C27" i="5"/>
  <c r="C28" i="5"/>
  <c r="L6" i="4" a="1"/>
  <c r="L6" i="4" s="1"/>
  <c r="L7" i="4" a="1"/>
  <c r="L7" i="4" s="1"/>
  <c r="L8" i="4" a="1"/>
  <c r="L8" i="4" s="1"/>
  <c r="L9" i="4" a="1"/>
  <c r="L9" i="4"/>
  <c r="L10" i="4" a="1"/>
  <c r="L10" i="4" s="1"/>
  <c r="L11" i="4" a="1"/>
  <c r="L11" i="4" s="1"/>
  <c r="L12" i="4" a="1"/>
  <c r="L12" i="4" s="1"/>
  <c r="L13" i="4" a="1"/>
  <c r="L13" i="4"/>
  <c r="L14" i="4" a="1"/>
  <c r="L14" i="4" s="1"/>
  <c r="L15" i="4" a="1"/>
  <c r="L15" i="4" s="1"/>
  <c r="L16" i="4" a="1"/>
  <c r="L16" i="4" s="1"/>
  <c r="L17" i="4" a="1"/>
  <c r="L17" i="4"/>
  <c r="L18" i="4" a="1"/>
  <c r="L18" i="4" s="1"/>
  <c r="L19" i="4" a="1"/>
  <c r="L19" i="4" s="1"/>
  <c r="L20" i="4" a="1"/>
  <c r="L20" i="4" s="1"/>
  <c r="L21" i="4" a="1"/>
  <c r="L21" i="4"/>
  <c r="L22" i="4" a="1"/>
  <c r="L22" i="4" s="1"/>
  <c r="L23" i="4" a="1"/>
  <c r="L23" i="4" s="1"/>
  <c r="L24" i="4" a="1"/>
  <c r="L24" i="4" s="1"/>
  <c r="L25" i="4" a="1"/>
  <c r="L25" i="4" s="1"/>
  <c r="L26" i="4" a="1"/>
  <c r="L26" i="4" s="1"/>
  <c r="L27" i="4" a="1"/>
  <c r="L27" i="4" s="1"/>
  <c r="L28" i="4" a="1"/>
  <c r="L28" i="4" s="1"/>
  <c r="K6" i="4" a="1"/>
  <c r="K6" i="4" s="1"/>
  <c r="K7" i="4" a="1"/>
  <c r="K7" i="4" s="1"/>
  <c r="K8" i="4" a="1"/>
  <c r="K8" i="4" s="1"/>
  <c r="K9" i="4" a="1"/>
  <c r="K9" i="4" s="1"/>
  <c r="K10" i="4" a="1"/>
  <c r="K10" i="4" s="1"/>
  <c r="K11" i="4" a="1"/>
  <c r="K11" i="4" s="1"/>
  <c r="K12" i="4" a="1"/>
  <c r="K12" i="4" s="1"/>
  <c r="K13" i="4" a="1"/>
  <c r="K13" i="4" s="1"/>
  <c r="K14" i="4" a="1"/>
  <c r="K14" i="4" s="1"/>
  <c r="K15" i="4" a="1"/>
  <c r="K15" i="4" s="1"/>
  <c r="K16" i="4" a="1"/>
  <c r="K16" i="4" s="1"/>
  <c r="K17" i="4" a="1"/>
  <c r="K17" i="4" s="1"/>
  <c r="K18" i="4" a="1"/>
  <c r="K18" i="4" s="1"/>
  <c r="K19" i="4" a="1"/>
  <c r="K19" i="4" s="1"/>
  <c r="K20" i="4" a="1"/>
  <c r="K20" i="4" s="1"/>
  <c r="K21" i="4" a="1"/>
  <c r="K21" i="4" s="1"/>
  <c r="K22" i="4" a="1"/>
  <c r="K22" i="4" s="1"/>
  <c r="K23" i="4" a="1"/>
  <c r="K23" i="4" s="1"/>
  <c r="K24" i="4" a="1"/>
  <c r="K24" i="4" s="1"/>
  <c r="K25" i="4" a="1"/>
  <c r="K25" i="4" s="1"/>
  <c r="K26" i="4" a="1"/>
  <c r="K26" i="4" s="1"/>
  <c r="K27" i="4" a="1"/>
  <c r="K27" i="4" s="1"/>
  <c r="K28" i="4" a="1"/>
  <c r="K28" i="4" s="1"/>
  <c r="I6" i="4"/>
  <c r="I7" i="4"/>
  <c r="I8" i="4"/>
  <c r="I9" i="4"/>
  <c r="I10" i="4"/>
  <c r="I11" i="4"/>
  <c r="I12" i="4"/>
  <c r="I13" i="4"/>
  <c r="I14" i="4"/>
  <c r="I15" i="4"/>
  <c r="I16" i="4"/>
  <c r="I17" i="4"/>
  <c r="I18" i="4"/>
  <c r="I19" i="4"/>
  <c r="I20" i="4"/>
  <c r="I21" i="4"/>
  <c r="I22" i="4"/>
  <c r="I23" i="4"/>
  <c r="I24" i="4"/>
  <c r="I25" i="4"/>
  <c r="I26" i="4"/>
  <c r="I27" i="4"/>
  <c r="I28" i="4"/>
  <c r="G6" i="4"/>
  <c r="G7" i="4"/>
  <c r="G8" i="4"/>
  <c r="G9" i="4"/>
  <c r="G10" i="4"/>
  <c r="G11" i="4"/>
  <c r="G12" i="4"/>
  <c r="G13" i="4"/>
  <c r="G14" i="4"/>
  <c r="G15" i="4"/>
  <c r="G16" i="4"/>
  <c r="G17" i="4"/>
  <c r="G18" i="4"/>
  <c r="G19" i="4"/>
  <c r="G20" i="4"/>
  <c r="G21" i="4"/>
  <c r="G22" i="4"/>
  <c r="G23" i="4"/>
  <c r="G24" i="4"/>
  <c r="G25" i="4"/>
  <c r="G26" i="4"/>
  <c r="G27" i="4"/>
  <c r="G28" i="4"/>
  <c r="F6" i="4"/>
  <c r="F7" i="4"/>
  <c r="F8" i="4"/>
  <c r="F9" i="4"/>
  <c r="F10" i="4"/>
  <c r="F11" i="4"/>
  <c r="F12" i="4"/>
  <c r="F13" i="4"/>
  <c r="F14" i="4"/>
  <c r="F15" i="4"/>
  <c r="F16" i="4"/>
  <c r="F17" i="4"/>
  <c r="F18" i="4"/>
  <c r="F19" i="4"/>
  <c r="F20" i="4"/>
  <c r="F21" i="4"/>
  <c r="F22" i="4"/>
  <c r="F23" i="4"/>
  <c r="F24" i="4"/>
  <c r="F25" i="4"/>
  <c r="F26" i="4"/>
  <c r="F27" i="4"/>
  <c r="F28" i="4"/>
  <c r="E6" i="4"/>
  <c r="E7" i="4"/>
  <c r="E8" i="4"/>
  <c r="E9" i="4"/>
  <c r="E10" i="4"/>
  <c r="E11" i="4"/>
  <c r="E12" i="4"/>
  <c r="E13" i="4"/>
  <c r="E14" i="4"/>
  <c r="E15" i="4"/>
  <c r="E16" i="4"/>
  <c r="E17" i="4"/>
  <c r="E18" i="4"/>
  <c r="E19" i="4"/>
  <c r="E20" i="4"/>
  <c r="E21" i="4"/>
  <c r="E22" i="4"/>
  <c r="E23" i="4"/>
  <c r="E24" i="4"/>
  <c r="E25" i="4"/>
  <c r="E26" i="4"/>
  <c r="E27" i="4"/>
  <c r="E28" i="4"/>
  <c r="D6" i="4"/>
  <c r="D7" i="4"/>
  <c r="D8" i="4"/>
  <c r="D9" i="4"/>
  <c r="D10" i="4"/>
  <c r="D11" i="4"/>
  <c r="D12" i="4"/>
  <c r="D13" i="4"/>
  <c r="D14" i="4"/>
  <c r="D15" i="4"/>
  <c r="D16" i="4"/>
  <c r="D17" i="4"/>
  <c r="D18" i="4"/>
  <c r="D19" i="4"/>
  <c r="D20" i="4"/>
  <c r="D21" i="4"/>
  <c r="D22" i="4"/>
  <c r="D23" i="4"/>
  <c r="D24" i="4"/>
  <c r="D25" i="4"/>
  <c r="D26" i="4"/>
  <c r="D27" i="4"/>
  <c r="D28" i="4"/>
  <c r="C6" i="4"/>
  <c r="C7" i="4"/>
  <c r="C8" i="4"/>
  <c r="C9" i="4"/>
  <c r="C10" i="4"/>
  <c r="C11" i="4"/>
  <c r="C12" i="4"/>
  <c r="C13" i="4"/>
  <c r="C14" i="4"/>
  <c r="C15" i="4"/>
  <c r="C16" i="4"/>
  <c r="C17" i="4"/>
  <c r="C18" i="4"/>
  <c r="C19" i="4"/>
  <c r="C20" i="4"/>
  <c r="C21" i="4"/>
  <c r="C22" i="4"/>
  <c r="C23" i="4"/>
  <c r="C24" i="4"/>
  <c r="C25" i="4"/>
  <c r="C26" i="4"/>
  <c r="C27" i="4"/>
  <c r="C28" i="4"/>
  <c r="D32" i="3"/>
  <c r="D31" i="3"/>
  <c r="I29" i="3"/>
  <c r="I11" i="3"/>
  <c r="I19" i="3"/>
  <c r="I20" i="3"/>
  <c r="I21" i="3"/>
  <c r="I22" i="3"/>
  <c r="I25" i="3"/>
  <c r="I26" i="3"/>
  <c r="I27" i="3"/>
  <c r="I28" i="3"/>
  <c r="F24" i="3"/>
  <c r="I24" i="3" s="1"/>
  <c r="F23" i="3"/>
  <c r="I23" i="3" s="1"/>
  <c r="F19" i="3"/>
  <c r="F18" i="3"/>
  <c r="I18" i="3" s="1"/>
  <c r="F17" i="3"/>
  <c r="I17" i="3" s="1"/>
  <c r="F16" i="3"/>
  <c r="I16" i="3" s="1"/>
  <c r="F15" i="3"/>
  <c r="I15" i="3" s="1"/>
  <c r="F14" i="3"/>
  <c r="I14" i="3" s="1"/>
  <c r="F13" i="3"/>
  <c r="I13" i="3" s="1"/>
  <c r="F12" i="3"/>
  <c r="I12" i="3" s="1"/>
  <c r="F11" i="3"/>
  <c r="F10" i="3"/>
  <c r="I10" i="3" s="1"/>
  <c r="F9" i="3"/>
  <c r="I9" i="3" s="1"/>
  <c r="F8" i="3"/>
  <c r="I8" i="3" s="1"/>
  <c r="F7" i="3"/>
  <c r="I7" i="3" s="1"/>
  <c r="H6" i="3"/>
  <c r="F6" i="3"/>
  <c r="I6" i="3" s="1"/>
  <c r="M29" i="2"/>
  <c r="K29" i="2"/>
  <c r="M28" i="2"/>
  <c r="L28" i="2"/>
  <c r="K28" i="2"/>
  <c r="M27" i="2"/>
  <c r="L27" i="2"/>
  <c r="K27" i="2"/>
  <c r="M26" i="2"/>
  <c r="L26" i="2"/>
  <c r="K26" i="2"/>
  <c r="M25" i="2"/>
  <c r="L25" i="2"/>
  <c r="K25" i="2"/>
  <c r="M24" i="2"/>
  <c r="L24" i="2"/>
  <c r="K24" i="2"/>
  <c r="M23" i="2"/>
  <c r="L23" i="2"/>
  <c r="K23" i="2"/>
  <c r="M22" i="2"/>
  <c r="L22" i="2"/>
  <c r="K22" i="2"/>
  <c r="M21" i="2"/>
  <c r="L21" i="2"/>
  <c r="K21" i="2"/>
  <c r="K17" i="2"/>
  <c r="K16" i="2"/>
  <c r="K15" i="2"/>
  <c r="K14" i="2"/>
  <c r="K13" i="2"/>
  <c r="K12" i="2"/>
  <c r="K11" i="2"/>
  <c r="K10" i="2"/>
  <c r="K9" i="2"/>
  <c r="K8" i="2"/>
  <c r="K7" i="2"/>
  <c r="K6" i="2"/>
  <c r="G22" i="2"/>
  <c r="G21" i="2"/>
  <c r="G20" i="2"/>
  <c r="G19" i="2"/>
  <c r="G18" i="2"/>
  <c r="G17" i="2"/>
  <c r="G16" i="2"/>
  <c r="G15" i="2"/>
  <c r="G14" i="2"/>
  <c r="G13" i="2"/>
  <c r="G12" i="2"/>
  <c r="G11" i="2"/>
  <c r="G10" i="2"/>
  <c r="G9" i="2"/>
  <c r="G8" i="2"/>
  <c r="G7" i="2"/>
  <c r="G6" i="2"/>
  <c r="D19" i="7" a="1"/>
  <c r="D19" i="7" s="1"/>
  <c r="D20" i="7" a="1"/>
  <c r="D20" i="7" s="1"/>
  <c r="D21" i="7" a="1"/>
  <c r="D21" i="7" s="1"/>
  <c r="D22" i="7" a="1"/>
  <c r="D22" i="7" s="1"/>
  <c r="D23" i="7" a="1"/>
  <c r="D23" i="7" s="1"/>
  <c r="D24" i="7" a="1"/>
  <c r="D24" i="7" s="1"/>
  <c r="D25" i="7" a="1"/>
  <c r="D25" i="7" s="1"/>
  <c r="H14" i="5" l="1"/>
  <c r="I14" i="5" s="1"/>
  <c r="J14" i="5" s="1"/>
  <c r="I24" i="5"/>
  <c r="J24" i="5" s="1"/>
  <c r="I16" i="5"/>
  <c r="J16" i="5" s="1"/>
  <c r="I15" i="5"/>
  <c r="J15"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<sst xmlns="http://schemas.openxmlformats.org/spreadsheetml/2006/main" count="379" uniqueCount="258">
  <si>
    <t>Reference data</t>
  </si>
  <si>
    <t>Module and inverter figures are copied from the manufacturers' datasheets. Milestones drive the required-on-site dates.</t>
  </si>
  <si>
    <t>PV modules (Jinko Tiger Neo 72HL4-(V), datasheet JKM580-605N-72HL4-(V)-F8-EN)</t>
  </si>
  <si>
    <t>Model</t>
  </si>
  <si>
    <t>Pmax (W)</t>
  </si>
  <si>
    <t>Vmp (V)</t>
  </si>
  <si>
    <t>Imp (A)</t>
  </si>
  <si>
    <t>Voc (V)</t>
  </si>
  <si>
    <t>Isc (A)</t>
  </si>
  <si>
    <t>Tk Voc (%/C)</t>
  </si>
  <si>
    <t>Tk Pmax (%/C)</t>
  </si>
  <si>
    <t>Length (m)</t>
  </si>
  <si>
    <t>Width (m)</t>
  </si>
  <si>
    <t>Max system V</t>
  </si>
  <si>
    <t>JKM580N-72HL4-V</t>
  </si>
  <si>
    <t>JKM590N-72HL4-V</t>
  </si>
  <si>
    <t>JKM600N-72HL4-V</t>
  </si>
  <si>
    <t>Inverter (Huawei SUN2000-100KTL-M2 datasheet)</t>
  </si>
  <si>
    <t>Rated AC (kW)</t>
  </si>
  <si>
    <t>Max DC V</t>
  </si>
  <si>
    <t>MPPT min V</t>
  </si>
  <si>
    <t>MPPT max V</t>
  </si>
  <si>
    <t>MPPTs</t>
  </si>
  <si>
    <t>Inputs per MPPT</t>
  </si>
  <si>
    <t>Max A per input</t>
  </si>
  <si>
    <t>Max A per MPPT</t>
  </si>
  <si>
    <t>Max Isc per MPPT</t>
  </si>
  <si>
    <t>Max AC A</t>
  </si>
  <si>
    <t>SUN2000-100KTL-M2</t>
  </si>
  <si>
    <t>Programme milestones (working days on a Monday to Saturday week)</t>
  </si>
  <si>
    <t>Milestone</t>
  </si>
  <si>
    <t>Offset (wd)</t>
  </si>
  <si>
    <t>Date</t>
  </si>
  <si>
    <t>Contract award</t>
  </si>
  <si>
    <t>Mobilisation</t>
  </si>
  <si>
    <t>Mounting installation start</t>
  </si>
  <si>
    <t>Module installation start</t>
  </si>
  <si>
    <t>Electrical installation start</t>
  </si>
  <si>
    <t>Testing and commissioning</t>
  </si>
  <si>
    <t>Net-metering energisation</t>
  </si>
  <si>
    <t>System design check: 100 kW commercial rooftop, Islamabad</t>
  </si>
  <si>
    <t>Demonstration project. Equipment data from manufacturer datasheets (Data sheet). Yellow cells are inputs; everything else is calculated.</t>
  </si>
  <si>
    <t>Inputs</t>
  </si>
  <si>
    <t>Module model</t>
  </si>
  <si>
    <t>Choose from the Data sheet</t>
  </si>
  <si>
    <t>Inverter model</t>
  </si>
  <si>
    <t>Huawei, 10 MPPTs</t>
  </si>
  <si>
    <t>Number of inverters</t>
  </si>
  <si>
    <t>Target DC/AC ratio</t>
  </si>
  <si>
    <t>Typical for C&amp;I rooftops</t>
  </si>
  <si>
    <t>Design minimum ambient temperature</t>
  </si>
  <si>
    <t>deg C, conservative winter low</t>
  </si>
  <si>
    <t>Maximum cell temperature</t>
  </si>
  <si>
    <t>deg C, 45 C ambient plus roof heating</t>
  </si>
  <si>
    <t>Modules per string (chosen)</t>
  </si>
  <si>
    <t>One below the maximum, for margin</t>
  </si>
  <si>
    <t>Average DC home-run length</t>
  </si>
  <si>
    <t>m per string conductor</t>
  </si>
  <si>
    <t>AC cable length, inverter to LT panel</t>
  </si>
  <si>
    <t>m</t>
  </si>
  <si>
    <t>Cable tray route length</t>
  </si>
  <si>
    <t>Mounting rail length</t>
  </si>
  <si>
    <t>m per piece</t>
  </si>
  <si>
    <t>Gap between modules</t>
  </si>
  <si>
    <t>Roof attachment spacing</t>
  </si>
  <si>
    <t>m along each rail</t>
  </si>
  <si>
    <t>Cable waste allowance</t>
  </si>
  <si>
    <t>Mechanical productivity</t>
  </si>
  <si>
    <t>modules per crew-day</t>
  </si>
  <si>
    <t>Electrical crew-days</t>
  </si>
  <si>
    <t>estimate</t>
  </si>
  <si>
    <t>Contract award date</t>
  </si>
  <si>
    <t>Day 0 of the programme</t>
  </si>
  <si>
    <t>Status date</t>
  </si>
  <si>
    <t>Tracker is reported as at this date</t>
  </si>
  <si>
    <t>Ordering buffer</t>
  </si>
  <si>
    <t>working days before order-by</t>
  </si>
  <si>
    <t>Equipment data (looked up)</t>
  </si>
  <si>
    <t>Module Pmax</t>
  </si>
  <si>
    <t>W</t>
  </si>
  <si>
    <t>Module Voc</t>
  </si>
  <si>
    <t>V</t>
  </si>
  <si>
    <t>Module Vmp</t>
  </si>
  <si>
    <t>Module Isc</t>
  </si>
  <si>
    <t>A</t>
  </si>
  <si>
    <t>Module Imp</t>
  </si>
  <si>
    <t>Voc temperature coefficient</t>
  </si>
  <si>
    <t>%/C</t>
  </si>
  <si>
    <t>Module width</t>
  </si>
  <si>
    <t>Module max system voltage</t>
  </si>
  <si>
    <t>Inverter rated AC</t>
  </si>
  <si>
    <t>kW</t>
  </si>
  <si>
    <t>Inverter max DC voltage</t>
  </si>
  <si>
    <t>MPPT range, minimum</t>
  </si>
  <si>
    <t>MPPT range, maximum</t>
  </si>
  <si>
    <t>Number of MPPTs</t>
  </si>
  <si>
    <t>Max current per input</t>
  </si>
  <si>
    <t>Max current per MPPT</t>
  </si>
  <si>
    <t>Max short circuit per MPPT</t>
  </si>
  <si>
    <t>String sizing</t>
  </si>
  <si>
    <t>Module Voc at design minimum temperature</t>
  </si>
  <si>
    <t>Module Vmp at design minimum temperature</t>
  </si>
  <si>
    <t>Module Vmp at maximum cell temperature</t>
  </si>
  <si>
    <t>Maximum modules per string</t>
  </si>
  <si>
    <t>Minimum modules per string</t>
  </si>
  <si>
    <t>Strings</t>
  </si>
  <si>
    <t>Modules</t>
  </si>
  <si>
    <t>DC capacity</t>
  </si>
  <si>
    <t>kWp</t>
  </si>
  <si>
    <t>DC/AC ratio</t>
  </si>
  <si>
    <t>Strings on the busiest MPPT</t>
  </si>
  <si>
    <t>Row length (one string per row)</t>
  </si>
  <si>
    <t>Rail pieces per rail line</t>
  </si>
  <si>
    <t>Design checks</t>
  </si>
  <si>
    <t>Check</t>
  </si>
  <si>
    <t>Calculated</t>
  </si>
  <si>
    <t>Limit</t>
  </si>
  <si>
    <t>Result</t>
  </si>
  <si>
    <t>String Voc at design minimum temperature (V)</t>
  </si>
  <si>
    <t>String Vmp at design minimum temperature (V)</t>
  </si>
  <si>
    <t>String Vmp at maximum cell temperature (V)</t>
  </si>
  <si>
    <t>String current (Imp) against inverter input (A)</t>
  </si>
  <si>
    <t>MPPT current, strings x Imp (A)</t>
  </si>
  <si>
    <t>MPPT short circuit, strings x Isc x 1.25 (A)</t>
  </si>
  <si>
    <t>Strings against inverter inputs</t>
  </si>
  <si>
    <t>Chosen modules per string within limits</t>
  </si>
  <si>
    <t>DC/AC ratio within 1.10 to 1.30</t>
  </si>
  <si>
    <t>1.10 to 1.30</t>
  </si>
  <si>
    <t>Bill of materials and budget</t>
  </si>
  <si>
    <t>Quantities are formulas driven by the Design sheet. Unit rates are illustrative PKR rates for this demonstration, not supplier quotes.</t>
  </si>
  <si>
    <t>Line</t>
  </si>
  <si>
    <t>Item</t>
  </si>
  <si>
    <t>Category</t>
  </si>
  <si>
    <t>Unit</t>
  </si>
  <si>
    <t>Qty</t>
  </si>
  <si>
    <t>Quantity basis</t>
  </si>
  <si>
    <t>Unit rate (PKR)</t>
  </si>
  <si>
    <t>Budget (PKR)</t>
  </si>
  <si>
    <t>Supplier</t>
  </si>
  <si>
    <t>Lead (wd)</t>
  </si>
  <si>
    <t>Needed for</t>
  </si>
  <si>
    <t>PV module, Jinko JKM580N-72HL4-V 580 W</t>
  </si>
  <si>
    <t>pcs</t>
  </si>
  <si>
    <t>Strings x modules per string</t>
  </si>
  <si>
    <t>Module distributor</t>
  </si>
  <si>
    <t>Inverter, Huawei SUN2000-100KTL-M2</t>
  </si>
  <si>
    <t>Inverter and monitoring</t>
  </si>
  <si>
    <t>Inverter distributor</t>
  </si>
  <si>
    <t>Smart Dongle 4G (monitoring)</t>
  </si>
  <si>
    <t>One per inverter</t>
  </si>
  <si>
    <t>Aluminium mounting rail, 4.2 m</t>
  </si>
  <si>
    <t>Mounting</t>
  </si>
  <si>
    <t>2 rails per row, row length / rail length, rounded up</t>
  </si>
  <si>
    <t>Mounting supplier</t>
  </si>
  <si>
    <t>Rail splice</t>
  </si>
  <si>
    <t>One per joint between rail pieces</t>
  </si>
  <si>
    <t>Mid clamp</t>
  </si>
  <si>
    <t>2 per gap between modules</t>
  </si>
  <si>
    <t>End clamp</t>
  </si>
  <si>
    <t>4 per row</t>
  </si>
  <si>
    <t>Roof attachment (L-foot with fixings)</t>
  </si>
  <si>
    <t>Every 1.2 m along each rail</t>
  </si>
  <si>
    <t>DC solar cable 6 mm2, red</t>
  </si>
  <si>
    <t>DC electrical</t>
  </si>
  <si>
    <t>One conductor per string plus waste</t>
  </si>
  <si>
    <t>Electrical wholesaler</t>
  </si>
  <si>
    <t>DC solar cable 6 mm2, black</t>
  </si>
  <si>
    <t>MC4 connector pair</t>
  </si>
  <si>
    <t>pairs</t>
  </si>
  <si>
    <t>2 pairs per string plus spares</t>
  </si>
  <si>
    <t>Cable tray, perforated, galvanised</t>
  </si>
  <si>
    <t>Measured route</t>
  </si>
  <si>
    <t>AC cable, 4-core 70 mm2 Cu armoured</t>
  </si>
  <si>
    <t>AC electrical</t>
  </si>
  <si>
    <t>Inverter to LT panel plus waste</t>
  </si>
  <si>
    <t>MCCB 4-pole 200 A</t>
  </si>
  <si>
    <t>Next rating above 160.4 A max output</t>
  </si>
  <si>
    <t>Surge protection device, Type 2, AC</t>
  </si>
  <si>
    <t>At the LT panel</t>
  </si>
  <si>
    <t>Earth rod with inspection pit</t>
  </si>
  <si>
    <t>Earthing</t>
  </si>
  <si>
    <t>Two earth pits</t>
  </si>
  <si>
    <t>Earth cable 16 mm2 Cu</t>
  </si>
  <si>
    <t>Structure and inverter bonding</t>
  </si>
  <si>
    <t>Mechanical installation crew</t>
  </si>
  <si>
    <t>Labour and services</t>
  </si>
  <si>
    <t>crew-days</t>
  </si>
  <si>
    <t>Modules / productivity</t>
  </si>
  <si>
    <t>Installation subcontractor</t>
  </si>
  <si>
    <t>Electrical installation crew</t>
  </si>
  <si>
    <t>Estimate</t>
  </si>
  <si>
    <t>Transport and lifting</t>
  </si>
  <si>
    <t>lot</t>
  </si>
  <si>
    <t>Delivery to roof level</t>
  </si>
  <si>
    <t>Logistics provider</t>
  </si>
  <si>
    <t>Access and safety equipment</t>
  </si>
  <si>
    <t>Edge protection, harnesses, signage</t>
  </si>
  <si>
    <t>In-house</t>
  </si>
  <si>
    <t>IR, polarity, Voc and Isc tests; inverter setup</t>
  </si>
  <si>
    <t>Net-metering application and bidirectional meter</t>
  </si>
  <si>
    <t>Approvals</t>
  </si>
  <si>
    <t>Application to the DISCO</t>
  </si>
  <si>
    <t>DISCO</t>
  </si>
  <si>
    <t>Total</t>
  </si>
  <si>
    <t>Total budget</t>
  </si>
  <si>
    <t>Budget per Wp (PKR)</t>
  </si>
  <si>
    <t>DC capacity (kWp)</t>
  </si>
  <si>
    <t>Procurement and call-off tracker</t>
  </si>
  <si>
    <t>Order-by = required-on-site date minus lead time minus buffer, on a Monday to Saturday calendar. Status is calculated against the status date on the Design sheet.</t>
  </si>
  <si>
    <t>Required on site</t>
  </si>
  <si>
    <t>Order by</t>
  </si>
  <si>
    <t>PO date</t>
  </si>
  <si>
    <t>Expected delivery</t>
  </si>
  <si>
    <t>Delivered</t>
  </si>
  <si>
    <t>Days in hand</t>
  </si>
  <si>
    <t>Status</t>
  </si>
  <si>
    <t>Status key</t>
  </si>
  <si>
    <t>On site</t>
  </si>
  <si>
    <t>On order</t>
  </si>
  <si>
    <t>PO placed, arrives before it is needed</t>
  </si>
  <si>
    <t>Order due</t>
  </si>
  <si>
    <t>Order-by date within 3 working days</t>
  </si>
  <si>
    <t>Order overdue</t>
  </si>
  <si>
    <t>Order-by date has passed, no PO</t>
  </si>
  <si>
    <t>Late delivery</t>
  </si>
  <si>
    <t>PO placed, but arrives after it is needed</t>
  </si>
  <si>
    <t>Not yet due</t>
  </si>
  <si>
    <t>Order-by date more than 3 days away</t>
  </si>
  <si>
    <t>Cost control: budget, committed, invoiced and forecast</t>
  </si>
  <si>
    <t>Forecast = committed value where a PO exists, otherwise budget. Variance = budget minus forecast (negative is an overrun).</t>
  </si>
  <si>
    <t>Committed (PKR)</t>
  </si>
  <si>
    <t>Invoiced (PKR)</t>
  </si>
  <si>
    <t>Forecast (PKR)</t>
  </si>
  <si>
    <t>Variance (PKR)</t>
  </si>
  <si>
    <t>Var %</t>
  </si>
  <si>
    <t>By category</t>
  </si>
  <si>
    <t>Budget</t>
  </si>
  <si>
    <t>Committed</t>
  </si>
  <si>
    <t>Forecast</t>
  </si>
  <si>
    <t>Variance</t>
  </si>
  <si>
    <t>Commitment curve (cumulative)</t>
  </si>
  <si>
    <t>Week ending</t>
  </si>
  <si>
    <t>Planned</t>
  </si>
  <si>
    <t>Actual</t>
  </si>
  <si>
    <t>Actual stops at the status date; later weeks are #N/A so the chart line ends there.</t>
  </si>
  <si>
    <t>Budget analysis</t>
  </si>
  <si>
    <t>PivotTable on the BOM table: budget by category, largest first, with the running share of the total. The Supplier slicer filters both.</t>
  </si>
  <si>
    <t>Grand Total</t>
  </si>
  <si>
    <t xml:space="preserve">Budget (PKR) </t>
  </si>
  <si>
    <t>Cumulative share</t>
  </si>
  <si>
    <t>115 kWp commercial rooftop: design, procurement and cost dashboard</t>
  </si>
  <si>
    <t xml:space="preserve">  DC CAPACITY</t>
  </si>
  <si>
    <t xml:space="preserve">  DESIGN CHECKS</t>
  </si>
  <si>
    <t xml:space="preserve">  BUDGET</t>
  </si>
  <si>
    <t xml:space="preserve">  COMMITTED TO DATE</t>
  </si>
  <si>
    <t xml:space="preserve">  FORECAST AT COMPLETION</t>
  </si>
  <si>
    <t xml:space="preserve">  PROCUREMENT</t>
  </si>
  <si>
    <t>Items needing 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</si>
</sst>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dd\ dd\-mmm\-yy"/>
    <numFmt numFmtId="165" formatCode="0.0"/>
    <numFmt numFmtId="166" formatCode="ddd\ dd\-mmm"/>
    <numFmt numFmtId="167" formatCode="0.0%;[Red]\-0.0%"/>
    <numFmt numFmtId="168" formatCode="0.0%"/>
    <numFmt numFmtId="169" formatCode="0.00&quot; kWp&quot;"/>
    <numFmt numFmtId="170" formatCode="&quot;PKR &quot;#,##0.00,,&quot;M&quot;"/>
  </numFmts>
  <fonts count="13" x14ac:knownFonts="1">
    <font>
      <sz val="11"/>
      <color theme="1"/>
      <name val="Aptos Narrow"/>
      <family val="2"/>
      <scheme val="minor"/>
    </font>
    <font>
      <b/>
      <sz val="11"/>
      <color theme="1"/>
      <name val="Aptos Narrow"/>
      <family val="2"/>
      <scheme val="minor"/>
    </font>
    <font>
      <b/>
      <sz val="18"/>
      <color rgb="FF1F3864"/>
      <name val="Aptos Narrow"/>
      <family val="2"/>
      <scheme val="minor"/>
    </font>
    <font>
      <i/>
      <sz val="11"/>
      <color rgb="FF5A626E"/>
      <name val="Aptos Narrow"/>
      <family val="2"/>
      <scheme val="minor"/>
    </font>
    <font>
      <b/>
      <sz val="12"/>
      <color rgb="FF1F3864"/>
      <name val="Aptos Narrow"/>
      <family val="2"/>
      <scheme val="minor"/>
    </font>
    <font>
      <sz val="11"/>
      <color rgb="FF0046AA"/>
      <name val="Aptos Narrow"/>
      <family val="2"/>
      <scheme val="minor"/>
    </font>
    <font>
      <sz val="11"/>
      <color rgb="FF000000"/>
      <name val="Aptos Narrow"/>
      <family val="2"/>
      <scheme val="minor"/>
    </font>
    <font>
      <b/>
      <sz val="11"/>
      <color rgb="FFFFFFFF"/>
      <name val="Aptos Narrow"/>
      <family val="2"/>
      <scheme val="minor"/>
    </font>
    <font>
      <b/>
      <sz val="9"/>
      <color rgb="FF5A626E"/>
      <name val="Aptos Narrow"/>
      <family val="2"/>
      <scheme val="minor"/>
    </font>
    <font>
      <b/>
      <sz val="20"/>
      <color rgb="FF1F3864"/>
      <name val="Aptos Narrow"/>
      <family val="2"/>
      <scheme val="minor"/>
    </font>
    <font>
      <sz val="9"/>
      <color rgb="FF5A626E"/>
      <name val="Aptos Narrow"/>
      <family val="2"/>
      <scheme val="minor"/>
    </font>
    <font>
      <b/>
      <sz val="20"/>
      <color rgb="FF9C0006"/>
      <name val="Aptos Narrow"/>
      <family val="2"/>
      <scheme val="minor"/>
    </font>
    <font>
      <b/>
      <sz val="11"/>
      <color rgb="FF0046AA"/>
      <name val="Aptos Narrow"/>
      <family val="2"/>
      <scheme val="minor"/>
    </font>
  </fonts>
  <fills count="5">
    <fill>
      <patternFill patternType="none"/>
    </fill>
    <fill>
      <patternFill patternType="gray125"/>
    </fill>
    <fill>
      <patternFill patternType="solid">
        <fgColor rgb="FFFFF2CC"/>
        <bgColor indexed="64"/>
      </patternFill>
    </fill>
    <fill>
      <patternFill patternType="solid">
        <fgColor rgb="FF1F3864"/>
        <bgColor indexed="64"/>
      </patternFill>
    </fill>
    <fill>
      <patternFill patternType="solid">
        <fgColor rgb="FFF6F8FA"/>
        <bgColor indexed="64"/>
      </patternFill>
    </fill>
  </fills>
  <borders count="11">
    <border>
      <left/>
      <right/>
      <top/>
      <bottom/>
      <diagonal/>
    </border>
    <border>
      <left/>
      <right/>
      <top/>
      <bottom style="thin">
        <color rgb="FF1F3864"/>
      </bottom>
      <diagonal/>
    </border>
    <border>
      <left/>
      <right/>
      <top/>
      <bottom style="thin">
        <color rgb="FFD6DCE4"/>
      </bottom>
      <diagonal/>
    </border>
    <border>
      <left/>
      <right/>
      <top style="thin">
        <color rgb="FFD6DCE4"/>
      </top>
      <bottom style="thin">
        <color rgb="FFD6DCE4"/>
      </bottom>
      <diagonal/>
    </border>
    <border>
      <left/>
      <right/>
      <top style="thin">
        <color rgb="FFD6DCE4"/>
      </top>
      <bottom/>
      <diagonal/>
    </border>
    <border>
      <left style="thin">
        <color rgb="FFD6DCE4"/>
      </left>
      <right/>
      <top/>
      <bottom/>
      <diagonal/>
    </border>
    <border>
      <left style="thin">
        <color rgb="FFD6DCE4"/>
      </left>
      <right/>
      <top style="thin">
        <color rgb="FFD6DCE4"/>
      </top>
      <bottom/>
      <diagonal/>
    </border>
    <border>
      <left style="thin">
        <color rgb="FFD6DCE4"/>
      </left>
      <right/>
      <top/>
      <bottom style="thin">
        <color rgb="FFD6DCE4"/>
      </bottom>
      <diagonal/>
    </border>
    <border>
      <left/>
      <right style="thin">
        <color rgb="FFD6DCE4"/>
      </right>
      <top style="thin">
        <color rgb="FFD6DCE4"/>
      </top>
      <bottom/>
      <diagonal/>
    </border>
    <border>
      <left/>
      <right style="thin">
        <color rgb="FFD6DCE4"/>
      </right>
      <top/>
      <bottom/>
      <diagonal/>
    </border>
    <border>
      <left/>
      <right style="thin">
        <color rgb="FFD6DCE4"/>
      </right>
      <top/>
      <bottom style="thin">
        <color rgb="FFD6DCE4"/>
      </bottom>
      <diagonal/>
    </border>
  </borders>
  <cellStyleXfs count="1">
    <xf numFmtId="0" fontId="0" fillId="0" borderId="0"/>
  </cellStyleXfs>
  <cellXfs count="70">
    <xf numFmtId="0" fontId="0" fillId="0" borderId="0" xfId="0"/>
    <xf numFmtId="0" fontId="2" fillId="0" borderId="0" xfId="0" applyFont="1"/>
    <xf numFmtId="0" fontId="3" fillId="0" borderId="0" xfId="0" applyFont="1"/>
    <xf numFmtId="0" fontId="1" fillId="0" borderId="0" xfId="0" applyFont="1"/>
    <xf numFmtId="0" fontId="4" fillId="0" borderId="0" xfId="0" applyFont="1"/>
    <xf numFmtId="0" fontId="0" fillId="0" borderId="0" xfId="0" applyAlignment="1">
      <alignment vertical="center" wrapText="1"/>
    </xf>
    <xf numFmtId="164" fontId="0" fillId="0" borderId="0" xfId="0" applyNumberFormat="1"/>
    <xf numFmtId="0" fontId="5" fillId="2" borderId="0" xfId="0" applyFont="1" applyFill="1" applyAlignment="1">
      <alignment horizontal="right"/>
    </xf>
    <xf numFmtId="2" fontId="5" fillId="2" borderId="0" xfId="0" applyNumberFormat="1" applyFont="1" applyFill="1" applyAlignment="1">
      <alignment horizontal="right"/>
    </xf>
    <xf numFmtId="9" fontId="5" fillId="2" borderId="0" xfId="0" applyNumberFormat="1" applyFont="1" applyFill="1" applyAlignment="1">
      <alignment horizontal="right"/>
    </xf>
    <xf numFmtId="164" fontId="5" fillId="2" borderId="0" xfId="0" applyNumberFormat="1" applyFont="1" applyFill="1" applyAlignment="1">
      <alignment horizontal="right"/>
    </xf>
    <xf numFmtId="2" fontId="0" fillId="0" borderId="0" xfId="0" applyNumberFormat="1"/>
    <xf numFmtId="1" fontId="0" fillId="0" borderId="0" xfId="0" applyNumberFormat="1"/>
    <xf numFmtId="2" fontId="1" fillId="0" borderId="0" xfId="0" applyNumberFormat="1" applyFont="1"/>
    <xf numFmtId="165" fontId="0" fillId="0" borderId="0" xfId="0" applyNumberFormat="1"/>
    <xf numFmtId="0" fontId="0" fillId="0" borderId="0" xfId="0" applyAlignment="1">
      <alignment horizontal="right"/>
    </xf>
    <xf numFmtId="0" fontId="0" fillId="0" borderId="0" xfId="0" applyAlignment="1">
      <alignment horizontal="center"/>
    </xf>
    <xf numFmtId="0" fontId="1" fillId="0" borderId="0" xfId="0" applyFont="1" applyAlignment="1">
      <alignment horizontal="center"/>
    </xf>
    <xf numFmtId="0" fontId="4" fillId="0" borderId="1" xfId="0" applyFont="1" applyBorder="1"/>
    <xf numFmtId="0" fontId="0" fillId="0" borderId="1" xfId="0" applyBorder="1"/>
    <xf numFmtId="3" fontId="0" fillId="0" borderId="0" xfId="0" applyNumberFormat="1"/>
    <xf numFmtId="3" fontId="5" fillId="2" borderId="0" xfId="0" applyNumberFormat="1" applyFont="1" applyFill="1"/>
    <xf numFmtId="3" fontId="6" fillId="0" borderId="0" xfId="0" applyNumberFormat="1" applyFont="1" applyFill="1"/>
    <xf numFmtId="165" fontId="0" fillId="0" borderId="0" xfId="0" applyNumberFormat="1" applyAlignment="1">
      <alignment horizontal="left"/>
    </xf>
    <xf numFmtId="2" fontId="0" fillId="0" borderId="0" xfId="0" applyNumberFormat="1" applyAlignment="1">
      <alignment horizontal="left"/>
    </xf>
    <xf numFmtId="166" fontId="0" fillId="0" borderId="0" xfId="0" applyNumberFormat="1"/>
    <xf numFmtId="166" fontId="5" fillId="2" borderId="0" xfId="0" applyNumberFormat="1" applyFont="1" applyFill="1"/>
    <xf numFmtId="38" fontId="0" fillId="0" borderId="0" xfId="0" applyNumberFormat="1"/>
    <xf numFmtId="167" fontId="0" fillId="0" borderId="0" xfId="0" applyNumberFormat="1"/>
    <xf numFmtId="38" fontId="5" fillId="2" borderId="0" xfId="0" applyNumberFormat="1" applyFont="1" applyFill="1"/>
    <xf numFmtId="0" fontId="7" fillId="3" borderId="0" xfId="0" applyFont="1" applyFill="1"/>
    <xf numFmtId="0" fontId="0" fillId="0" borderId="2" xfId="0" applyBorder="1"/>
    <xf numFmtId="38" fontId="0" fillId="0" borderId="2" xfId="0" applyNumberFormat="1" applyBorder="1"/>
    <xf numFmtId="0" fontId="0" fillId="0" borderId="3" xfId="0" applyBorder="1"/>
    <xf numFmtId="38" fontId="0" fillId="0" borderId="3" xfId="0" applyNumberFormat="1" applyBorder="1"/>
    <xf numFmtId="16" fontId="0" fillId="0" borderId="0" xfId="0" applyNumberFormat="1"/>
    <xf numFmtId="0" fontId="0" fillId="0" borderId="0" xfId="0" pivotButton="1"/>
    <xf numFmtId="168" fontId="0" fillId="0" borderId="0" xfId="0" applyNumberFormat="1"/>
    <xf numFmtId="0" fontId="0" fillId="4" borderId="4" xfId="0" applyFill="1" applyBorder="1"/>
    <xf numFmtId="0" fontId="0" fillId="4" borderId="8" xfId="0" applyFill="1" applyBorder="1"/>
    <xf numFmtId="0" fontId="8" fillId="4" borderId="6" xfId="0" applyFont="1" applyFill="1" applyBorder="1"/>
    <xf numFmtId="169" fontId="9" fillId="4" borderId="5" xfId="0" applyNumberFormat="1" applyFont="1" applyFill="1" applyBorder="1" applyAlignment="1">
      <alignment horizontal="left" indent="1"/>
    </xf>
    <xf numFmtId="0" fontId="0" fillId="4" borderId="0" xfId="0" applyFill="1" applyBorder="1" applyAlignment="1">
      <alignment horizontal="left" indent="1"/>
    </xf>
    <xf numFmtId="0" fontId="0" fillId="4" borderId="9" xfId="0" applyFill="1" applyBorder="1" applyAlignment="1">
      <alignment horizontal="left" indent="1"/>
    </xf>
    <xf numFmtId="0" fontId="10" fillId="4" borderId="7" xfId="0" applyFont="1" applyFill="1" applyBorder="1" applyAlignment="1">
      <alignment horizontal="left" indent="1"/>
    </xf>
    <xf numFmtId="0" fontId="0" fillId="4" borderId="2" xfId="0" applyFill="1" applyBorder="1" applyAlignment="1">
      <alignment horizontal="left" indent="1"/>
    </xf>
    <xf numFmtId="0" fontId="0" fillId="4" borderId="10" xfId="0" applyFill="1" applyBorder="1" applyAlignment="1">
      <alignment horizontal="left" indent="1"/>
    </xf>
    <xf numFmtId="49" fontId="9" fillId="4" borderId="5" xfId="0" applyNumberFormat="1" applyFont="1" applyFill="1" applyBorder="1" applyAlignment="1">
      <alignment horizontal="left" indent="1"/>
    </xf>
    <xf numFmtId="170" fontId="9" fillId="4" borderId="5" xfId="0" applyNumberFormat="1" applyFont="1" applyFill="1" applyBorder="1" applyAlignment="1">
      <alignment horizontal="left" indent="1"/>
    </xf>
    <xf numFmtId="49" fontId="11" fillId="4" borderId="5" xfId="0" applyNumberFormat="1" applyFont="1" applyFill="1" applyBorder="1" applyAlignment="1">
      <alignment horizontal="left" indent="1"/>
    </xf>
    <xf numFmtId="0" fontId="7" fillId="3" borderId="0" xfId="0" applyFont="1" applyFill="1" applyAlignment="1">
      <alignment horizontal="center"/>
    </xf>
    <xf numFmtId="0" fontId="0" fillId="0" borderId="0"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7" fillId="3" borderId="0" xfId="0" applyFont="1" applyFill="1" applyAlignment="1">
      <alignment horizontal="left"/>
    </xf>
    <xf numFmtId="0" fontId="0" fillId="0" borderId="4" xfId="0" applyBorder="1" applyAlignment="1">
      <alignment horizontal="left"/>
    </xf>
    <xf numFmtId="0" fontId="0" fillId="0" borderId="0" xfId="0" applyBorder="1" applyAlignment="1">
      <alignment horizontal="left"/>
    </xf>
    <xf numFmtId="0" fontId="0" fillId="0" borderId="3" xfId="0" applyBorder="1" applyAlignment="1">
      <alignment horizontal="left"/>
    </xf>
    <xf numFmtId="0" fontId="7" fillId="3" borderId="0" xfId="0" applyFont="1" applyFill="1" applyAlignment="1">
      <alignment horizontal="center"/>
    </xf>
    <xf numFmtId="0" fontId="0" fillId="0" borderId="4" xfId="0" applyBorder="1" applyAlignment="1">
      <alignment horizontal="center"/>
    </xf>
    <xf numFmtId="0" fontId="0" fillId="0" borderId="0" xfId="0" applyBorder="1" applyAlignment="1">
      <alignment horizontal="center"/>
    </xf>
    <xf numFmtId="0" fontId="0" fillId="0" borderId="3" xfId="0" applyBorder="1" applyAlignment="1">
      <alignment horizontal="center"/>
    </xf>
    <xf numFmtId="166" fontId="0" fillId="0" borderId="0" xfId="0" applyNumberFormat="1" applyBorder="1" applyAlignment="1">
      <alignment horizontal="center"/>
    </xf>
    <xf numFmtId="166" fontId="0" fillId="0" borderId="4" xfId="0" applyNumberFormat="1" applyBorder="1" applyAlignment="1">
      <alignment horizontal="center"/>
    </xf>
    <xf numFmtId="166" fontId="0" fillId="0" borderId="3" xfId="0" applyNumberFormat="1" applyBorder="1" applyAlignment="1">
      <alignment horizontal="center"/>
    </xf>
    <xf numFmtId="0" fontId="1" fillId="0" borderId="0" xfId="0" applyFont="1" applyBorder="1" applyAlignment="1">
      <alignment horizontal="center"/>
    </xf>
    <xf numFmtId="0" fontId="1" fillId="0" borderId="4" xfId="0" applyFont="1" applyBorder="1" applyAlignment="1">
      <alignment horizontal="center"/>
    </xf>
    <xf numFmtId="0" fontId="1" fillId="0" borderId="3" xfId="0" applyFont="1" applyBorder="1" applyAlignment="1">
      <alignment horizontal="center"/>
    </xf>
    <xf numFmtId="38" fontId="1" fillId="0" borderId="0" xfId="0" applyNumberFormat="1" applyFont="1" applyFill="1"/>
    <xf numFmtId="38" fontId="12" fillId="0" borderId="0" xfId="0" applyNumberFormat="1" applyFont="1" applyFill="1"/>
  </cellXfs>
  <cellStyles count="1">
    <cellStyle name="Normal" xfId="0" builtinId="0"/>
  </cellStyles>
  <dxfs count="62">
    <dxf>
      <font>
        <b/>
      </font>
      <numFmt numFmtId="6" formatCode="#,##0;[Red]\-#,##0"/>
      <fill>
        <patternFill patternType="none">
          <fgColor indexed="64"/>
        </patternFill>
      </fill>
    </dxf>
    <dxf>
      <font>
        <b/>
      </font>
      <numFmt numFmtId="6" formatCode="#,##0;[Red]\-#,##0"/>
      <fill>
        <patternFill patternType="none">
          <fgColor indexed="64"/>
        </patternFill>
      </fill>
    </dxf>
    <dxf>
      <font>
        <b/>
      </font>
      <numFmt numFmtId="6" formatCode="#,##0;[Red]\-#,##0"/>
      <fill>
        <patternFill patternType="none">
          <fgColor indexed="64"/>
        </patternFill>
      </fill>
    </dxf>
    <dxf>
      <font>
        <b/>
      </font>
      <numFmt numFmtId="6" formatCode="#,##0;[Red]\-#,##0"/>
      <fill>
        <patternFill patternType="none">
          <fgColor indexed="64"/>
        </patternFill>
      </fill>
    </dxf>
    <dxf>
      <font>
        <b/>
        <i val="0"/>
        <strike val="0"/>
        <condense val="0"/>
        <extend val="0"/>
        <outline val="0"/>
        <shadow val="0"/>
        <u val="none"/>
        <vertAlign val="baseline"/>
        <sz val="11"/>
        <color rgb="FF0046AA"/>
        <name val="Aptos Narrow"/>
        <family val="2"/>
        <scheme val="minor"/>
      </font>
      <numFmt numFmtId="6" formatCode="#,##0;[Red]\-#,##0"/>
      <fill>
        <patternFill patternType="none">
          <fgColor indexed="64"/>
          <bgColor rgb="FFFFF2CC"/>
        </patternFill>
      </fill>
    </dxf>
    <dxf>
      <font>
        <b/>
        <i val="0"/>
        <strike val="0"/>
        <condense val="0"/>
        <extend val="0"/>
        <outline val="0"/>
        <shadow val="0"/>
        <u val="none"/>
        <vertAlign val="baseline"/>
        <sz val="11"/>
        <color rgb="FF0046AA"/>
        <name val="Aptos Narrow"/>
        <family val="2"/>
        <scheme val="minor"/>
      </font>
      <numFmt numFmtId="6" formatCode="#,##0;[Red]\-#,##0"/>
      <fill>
        <patternFill patternType="none">
          <fgColor indexed="64"/>
          <bgColor rgb="FFFFF2CC"/>
        </patternFill>
      </fill>
    </dxf>
    <dxf>
      <font>
        <b/>
      </font>
      <numFmt numFmtId="6" formatCode="#,##0;[Red]\-#,##0"/>
      <fill>
        <patternFill patternType="none">
          <fgColor indexed="64"/>
        </patternFill>
      </fill>
    </dxf>
    <dxf>
      <font>
        <b/>
      </font>
      <numFmt numFmtId="6" formatCode="#,##0;[Red]\-#,##0"/>
      <fill>
        <patternFill patternType="none">
          <fgColor indexed="64"/>
        </patternFill>
      </fill>
    </dxf>
    <dxf>
      <font>
        <b/>
      </font>
      <numFmt numFmtId="6" formatCode="#,##0;[Red]\-#,##0"/>
      <fill>
        <patternFill patternType="none">
          <fgColor indexed="64"/>
        </patternFill>
      </fill>
    </dxf>
    <dxf>
      <font>
        <b/>
      </font>
      <numFmt numFmtId="6" formatCode="#,##0;[Red]\-#,##0"/>
      <fill>
        <patternFill patternType="none">
          <fgColor indexed="64"/>
        </patternFill>
      </fill>
    </dxf>
    <dxf>
      <font>
        <color rgb="FF000000"/>
      </font>
      <numFmt numFmtId="3" formatCode="#,##0"/>
      <fill>
        <patternFill patternType="none">
          <fgColor indexed="64"/>
        </patternFill>
      </fill>
    </dxf>
    <dxf>
      <font>
        <color rgb="FF000000"/>
      </font>
      <numFmt numFmtId="3" formatCode="#,##0"/>
      <fill>
        <patternFill patternType="none">
          <fgColor indexed="64"/>
        </patternFill>
      </fill>
    </dxf>
    <dxf>
      <font>
        <color rgb="FF000000"/>
      </font>
      <numFmt numFmtId="3" formatCode="#,##0"/>
      <fill>
        <patternFill patternType="none">
          <fgColor indexed="64"/>
        </patternFill>
      </fill>
    </dxf>
    <dxf>
      <font>
        <color rgb="FF000000"/>
      </font>
      <numFmt numFmtId="3" formatCode="#,##0"/>
      <fill>
        <patternFill patternType="none">
          <fgColor indexed="64"/>
        </patternFill>
      </fill>
    </dxf>
    <dxf>
      <font>
        <color rgb="FF000000"/>
      </font>
      <numFmt numFmtId="3" formatCode="#,##0"/>
      <fill>
        <patternFill patternType="none">
          <fgColor indexed="64"/>
        </patternFill>
      </fill>
    </dxf>
    <dxf>
      <font>
        <b val="0"/>
        <i val="0"/>
        <strike val="0"/>
        <condense val="0"/>
        <extend val="0"/>
        <outline val="0"/>
        <shadow val="0"/>
        <u val="none"/>
        <vertAlign val="baseline"/>
        <sz val="11"/>
        <color rgb="FF000000"/>
        <name val="Aptos Narrow"/>
        <family val="2"/>
        <scheme val="minor"/>
      </font>
      <numFmt numFmtId="3" formatCode="#,##0"/>
      <fill>
        <patternFill patternType="none">
          <fgColor indexed="64"/>
          <bgColor rgb="FFFFF2CC"/>
        </patternFill>
      </fill>
    </dxf>
    <dxf>
      <font>
        <color rgb="FF000000"/>
      </font>
      <numFmt numFmtId="3" formatCode="#,##0"/>
      <fill>
        <patternFill patternType="none">
          <fgColor indexed="64"/>
        </patternFill>
      </fill>
    </dxf>
    <dxf>
      <font>
        <color rgb="FF000000"/>
      </font>
      <numFmt numFmtId="3" formatCode="#,##0"/>
      <fill>
        <patternFill patternType="none">
          <fgColor indexed="64"/>
        </patternFill>
      </fill>
    </dxf>
    <dxf>
      <font>
        <color rgb="FF000000"/>
      </font>
      <numFmt numFmtId="3" formatCode="#,##0"/>
      <fill>
        <patternFill patternType="none">
          <fgColor indexed="64"/>
        </patternFill>
      </fill>
    </dxf>
    <dxf>
      <font>
        <color rgb="FF000000"/>
      </font>
      <numFmt numFmtId="3" formatCode="#,##0"/>
      <fill>
        <patternFill patternType="none">
          <fgColor indexed="64"/>
        </patternFill>
      </fill>
    </dxf>
    <dxf>
      <font>
        <color rgb="FF000000"/>
      </font>
      <numFmt numFmtId="3" formatCode="#,##0"/>
      <fill>
        <patternFill patternType="none">
          <fgColor indexed="64"/>
        </patternFill>
      </fill>
    </dxf>
    <dxf>
      <font>
        <color rgb="FF000000"/>
      </font>
      <numFmt numFmtId="3" formatCode="#,##0"/>
      <fill>
        <patternFill patternType="none">
          <fgColor indexed="64"/>
        </patternFill>
      </fill>
    </dxf>
    <dxf>
      <font>
        <color rgb="FF9C0006"/>
      </font>
      <fill>
        <patternFill>
          <bgColor rgb="FFFFC7CE"/>
        </patternFill>
      </fill>
    </dxf>
    <dxf>
      <font>
        <color rgb="FF9C5700"/>
      </font>
      <fill>
        <patternFill>
          <bgColor rgb="FFFFEB9C"/>
        </patternFill>
      </fill>
    </dxf>
    <dxf>
      <font>
        <color rgb="FFBEC4CC"/>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385723"/>
      </font>
      <fill>
        <patternFill>
          <bgColor rgb="FFE2EFDA"/>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385723"/>
      </font>
      <fill>
        <patternFill>
          <bgColor rgb="FFE2EFDA"/>
        </patternFill>
      </fill>
    </dxf>
    <dxf>
      <font>
        <color rgb="FF9C0006"/>
      </font>
      <fill>
        <patternFill>
          <bgColor rgb="FFFFC7CE"/>
        </patternFill>
      </fill>
    </dxf>
    <dxf>
      <font>
        <color rgb="FF006100"/>
      </font>
      <fill>
        <patternFill>
          <bgColor rgb="FFC6EFCE"/>
        </patternFill>
      </fill>
    </dxf>
    <dxf>
      <font>
        <color rgb="FF0046AA"/>
      </font>
      <numFmt numFmtId="6" formatCode="#,##0;[Red]\-#,##0"/>
      <fill>
        <patternFill patternType="solid">
          <fgColor indexed="64"/>
          <bgColor rgb="FFFFF2CC"/>
        </patternFill>
      </fill>
    </dxf>
    <dxf>
      <numFmt numFmtId="6" formatCode="#,##0;[Red]\-#,##0"/>
    </dxf>
    <dxf>
      <font>
        <color rgb="FF0046AA"/>
      </font>
      <numFmt numFmtId="6" formatCode="#,##0;[Red]\-#,##0"/>
      <fill>
        <patternFill patternType="solid">
          <fgColor indexed="64"/>
          <bgColor rgb="FFFFF2CC"/>
        </patternFill>
      </fill>
    </dxf>
    <dxf>
      <numFmt numFmtId="6" formatCode="#,##0;[Red]\-#,##0"/>
    </dxf>
    <dxf>
      <numFmt numFmtId="167" formatCode="0.0%;[Red]\-0.0%"/>
    </dxf>
    <dxf>
      <numFmt numFmtId="6" formatCode="#,##0;[Red]\-#,##0"/>
    </dxf>
    <dxf>
      <alignment horizontal="general" vertical="center" textRotation="0" wrapText="1" indent="0" justifyLastLine="0" shrinkToFit="0" readingOrder="0"/>
    </dxf>
    <dxf>
      <alignment horizontal="center" vertical="bottom" textRotation="0" wrapText="0" indent="0" justifyLastLine="0" shrinkToFit="0" readingOrder="0"/>
    </dxf>
    <dxf>
      <font>
        <b/>
      </font>
      <alignment horizontal="center" vertical="bottom" textRotation="0" wrapText="0" indent="0" justifyLastLine="0" shrinkToFit="0" readingOrder="0"/>
    </dxf>
    <dxf>
      <font>
        <color rgb="FF0046AA"/>
      </font>
      <numFmt numFmtId="166" formatCode="ddd\ dd\-mmm"/>
      <fill>
        <patternFill patternType="solid">
          <fgColor indexed="64"/>
          <bgColor rgb="FFFFF2CC"/>
        </patternFill>
      </fill>
    </dxf>
    <dxf>
      <numFmt numFmtId="166" formatCode="ddd\ dd\-mmm"/>
    </dxf>
    <dxf>
      <font>
        <color rgb="FF0046AA"/>
      </font>
      <numFmt numFmtId="166" formatCode="ddd\ dd\-mmm"/>
      <fill>
        <patternFill patternType="solid">
          <fgColor indexed="64"/>
          <bgColor rgb="FFFFF2CC"/>
        </patternFill>
      </fill>
    </dxf>
    <dxf>
      <numFmt numFmtId="166" formatCode="ddd\ dd\-mmm"/>
    </dxf>
    <dxf>
      <numFmt numFmtId="166" formatCode="ddd\ dd\-mmm"/>
    </dxf>
    <dxf>
      <alignment horizontal="general" vertical="center" textRotation="0" wrapText="1" indent="0" justifyLastLine="0" shrinkToFit="0" readingOrder="0"/>
    </dxf>
    <dxf>
      <font>
        <color rgb="FF0046AA"/>
      </font>
      <numFmt numFmtId="3" formatCode="#,##0"/>
      <fill>
        <patternFill patternType="solid">
          <fgColor indexed="64"/>
          <bgColor rgb="FFFFF2CC"/>
        </patternFill>
      </fill>
    </dxf>
    <dxf>
      <numFmt numFmtId="3" formatCode="#,##0"/>
    </dxf>
    <dxf>
      <numFmt numFmtId="3" formatCode="#,##0"/>
    </dxf>
    <dxf>
      <alignment horizontal="general" vertical="center" textRotation="0" wrapText="1" indent="0" justifyLastLine="0" shrinkToFit="0" readingOrder="0"/>
    </dxf>
    <dxf>
      <font>
        <b/>
      </font>
      <alignment horizontal="center" vertical="bottom" textRotation="0" wrapText="0" indent="0" justifyLastLine="0" shrinkToFit="0" readingOrder="0"/>
    </dxf>
    <dxf>
      <alignment horizontal="right" vertical="bottom" textRotation="0" wrapText="0" indent="0" justifyLastLine="0" shrinkToFit="0" readingOrder="0"/>
    </dxf>
    <dxf>
      <alignment horizontal="general" vertical="center" textRotation="0" wrapText="1" indent="0" justifyLastLine="0" shrinkToFit="0" readingOrder="0"/>
    </dxf>
    <dxf>
      <numFmt numFmtId="164" formatCode="ddd\ dd\-mmm\-yy"/>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E"/>
              <a:t>Budget and forecast by category (PKR)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'Cost Control'!$N$5</c:f>
              <c:strCache>
                <c:ptCount val="1"/>
                <c:pt idx="0">
                  <c:v>Budget</c:v>
                </c:pt>
              </c:strCache>
            </c:strRef>
          </c:tx>
          <c:spPr>
            <a:solidFill>
              <a:srgbClr val="A4B4CC"/>
            </a:solidFill>
            <a:ln>
              <a:noFill/>
            </a:ln>
            <a:effectLst/>
          </c:spPr>
          <c:invertIfNegative val="0"/>
          <c:cat>
            <c:strRef>
              <c:f>'Cost Control'!$M$6:$M$13</c:f>
              <c:strCache>
                <c:ptCount val="8"/>
                <c:pt idx="0">
                  <c:v>Modules</c:v>
                </c:pt>
                <c:pt idx="1">
                  <c:v>Inverter and monitoring</c:v>
                </c:pt>
                <c:pt idx="2">
                  <c:v>Mounting</c:v>
                </c:pt>
                <c:pt idx="3">
                  <c:v>DC electrical</c:v>
                </c:pt>
                <c:pt idx="4">
                  <c:v>AC electrical</c:v>
                </c:pt>
                <c:pt idx="5">
                  <c:v>Earthing</c:v>
                </c:pt>
                <c:pt idx="6">
                  <c:v>Labour and services</c:v>
                </c:pt>
                <c:pt idx="7">
                  <c:v>Approvals</c:v>
                </c:pt>
              </c:strCache>
            </c:strRef>
          </c:cat>
          <c:val>
            <c:numRef>
              <c:f>'Cost Control'!$N$6:$N$13</c:f>
              <c:numCache>
                <c:formatCode>#,##0_);[Red]\(#,##0\)</c:formatCode>
                <c:ptCount val="8"/>
                <c:pt idx="0">
                  <c:v>3100680</c:v>
                </c:pt>
                <c:pt idx="1">
                  <c:v>1492000</c:v>
                </c:pt>
                <c:pt idx="2">
                  <c:v>839740</c:v>
                </c:pt>
                <c:pt idx="3">
                  <c:v>368430</c:v>
                </c:pt>
                <c:pt idx="4">
                  <c:v>393500</c:v>
                </c:pt>
                <c:pt idx="5">
                  <c:v>104000</c:v>
                </c:pt>
                <c:pt idx="6">
                  <c:v>640000</c:v>
                </c:pt>
                <c:pt idx="7">
                  <c:v>200000</c:v>
                </c:pt>
              </c:numCache>
            </c:numRef>
          </c:val>
          <c:extLst>
            <c:ext xmlns:c16="http://schemas.microsoft.com/office/drawing/2014/chart" uri="{C3380CC4-5D6E-409C-BE32-E72D297353CC}">
              <c16:uniqueId val="{00000000-0BE6-46AF-9E0A-DCB3F1460F05}"/>
            </c:ext>
          </c:extLst>
        </c:ser>
        <c:ser>
          <c:idx val="1"/>
          <c:order val="1"/>
          <c:tx>
            <c:strRef>
              <c:f>'Cost Control'!$P$5</c:f>
              <c:strCache>
                <c:ptCount val="1"/>
                <c:pt idx="0">
                  <c:v>Forecast</c:v>
                </c:pt>
              </c:strCache>
            </c:strRef>
          </c:tx>
          <c:spPr>
            <a:solidFill>
              <a:srgbClr val="1F3864"/>
            </a:solidFill>
            <a:ln>
              <a:noFill/>
            </a:ln>
            <a:effectLst/>
          </c:spPr>
          <c:invertIfNegative val="0"/>
          <c:cat>
            <c:strRef>
              <c:f>'Cost Control'!$M$6:$M$13</c:f>
              <c:strCache>
                <c:ptCount val="8"/>
                <c:pt idx="0">
                  <c:v>Modules</c:v>
                </c:pt>
                <c:pt idx="1">
                  <c:v>Inverter and monitoring</c:v>
                </c:pt>
                <c:pt idx="2">
                  <c:v>Mounting</c:v>
                </c:pt>
                <c:pt idx="3">
                  <c:v>DC electrical</c:v>
                </c:pt>
                <c:pt idx="4">
                  <c:v>AC electrical</c:v>
                </c:pt>
                <c:pt idx="5">
                  <c:v>Earthing</c:v>
                </c:pt>
                <c:pt idx="6">
                  <c:v>Labour and services</c:v>
                </c:pt>
                <c:pt idx="7">
                  <c:v>Approvals</c:v>
                </c:pt>
              </c:strCache>
            </c:strRef>
          </c:cat>
          <c:val>
            <c:numRef>
              <c:f>'Cost Control'!$P$6:$P$13</c:f>
              <c:numCache>
                <c:formatCode>#,##0_);[Red]\(#,##0\)</c:formatCode>
                <c:ptCount val="8"/>
                <c:pt idx="0">
                  <c:v>3100700</c:v>
                </c:pt>
                <c:pt idx="1">
                  <c:v>1492000</c:v>
                </c:pt>
                <c:pt idx="2">
                  <c:v>890100</c:v>
                </c:pt>
                <c:pt idx="3">
                  <c:v>368430</c:v>
                </c:pt>
                <c:pt idx="4">
                  <c:v>382300</c:v>
                </c:pt>
                <c:pt idx="5">
                  <c:v>104000</c:v>
                </c:pt>
                <c:pt idx="6">
                  <c:v>640000</c:v>
                </c:pt>
                <c:pt idx="7">
                  <c:v>200000</c:v>
                </c:pt>
              </c:numCache>
            </c:numRef>
          </c:val>
          <c:extLst>
            <c:ext xmlns:c16="http://schemas.microsoft.com/office/drawing/2014/chart" uri="{C3380CC4-5D6E-409C-BE32-E72D297353CC}">
              <c16:uniqueId val="{00000001-0BE6-46AF-9E0A-DCB3F1460F05}"/>
            </c:ext>
          </c:extLst>
        </c:ser>
        <c:dLbls>
          <c:showLegendKey val="0"/>
          <c:showVal val="0"/>
          <c:showCatName val="0"/>
          <c:showSerName val="0"/>
          <c:showPercent val="0"/>
          <c:showBubbleSize val="0"/>
        </c:dLbls>
        <c:gapWidth val="182"/>
        <c:axId val="101705232"/>
        <c:axId val="2662608"/>
      </c:barChart>
      <c:catAx>
        <c:axId val="10170523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2608"/>
        <c:crosses val="autoZero"/>
        <c:auto val="1"/>
        <c:lblAlgn val="ctr"/>
        <c:lblOffset val="100"/>
        <c:noMultiLvlLbl val="0"/>
      </c:catAx>
      <c:valAx>
        <c:axId val="2662608"/>
        <c:scaling>
          <c:orientation val="minMax"/>
        </c:scaling>
        <c:delete val="0"/>
        <c:axPos val="t"/>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7052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E"/>
              <a:t>Cumulative commitment: planned against actual (PKR)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'Cost Control'!$N$17</c:f>
              <c:strCache>
                <c:ptCount val="1"/>
                <c:pt idx="0">
                  <c:v>Planned</c:v>
                </c:pt>
              </c:strCache>
            </c:strRef>
          </c:tx>
          <c:spPr>
            <a:ln w="28575" cap="rnd">
              <a:solidFill>
                <a:srgbClr val="A4B4CC"/>
              </a:solidFill>
              <a:round/>
            </a:ln>
            <a:effectLst/>
          </c:spPr>
          <c:marker>
            <c:symbol val="circle"/>
            <c:size val="5"/>
            <c:spPr>
              <a:solidFill>
                <a:schemeClr val="accent1"/>
              </a:solidFill>
              <a:ln w="9525">
                <a:solidFill>
                  <a:srgbClr val="A4B4CC"/>
                </a:solidFill>
              </a:ln>
              <a:effectLst/>
            </c:spPr>
          </c:marker>
          <c:cat>
            <c:numRef>
              <c:f>'Cost Control'!$M$18:$M$26</c:f>
              <c:numCache>
                <c:formatCode>d\-mmm</c:formatCode>
                <c:ptCount val="9"/>
                <c:pt idx="0">
                  <c:v>46277</c:v>
                </c:pt>
                <c:pt idx="1">
                  <c:v>46284</c:v>
                </c:pt>
                <c:pt idx="2">
                  <c:v>46291</c:v>
                </c:pt>
                <c:pt idx="3">
                  <c:v>46298</c:v>
                </c:pt>
                <c:pt idx="4">
                  <c:v>46305</c:v>
                </c:pt>
                <c:pt idx="5">
                  <c:v>46312</c:v>
                </c:pt>
                <c:pt idx="6">
                  <c:v>46319</c:v>
                </c:pt>
                <c:pt idx="7">
                  <c:v>46326</c:v>
                </c:pt>
                <c:pt idx="8">
                  <c:v>46333</c:v>
                </c:pt>
              </c:numCache>
            </c:numRef>
          </c:cat>
          <c:val>
            <c:numRef>
              <c:f>'Cost Control'!$N$18:$N$26</c:f>
              <c:numCache>
                <c:formatCode>#,##0</c:formatCode>
                <c:ptCount val="9"/>
                <c:pt idx="0">
                  <c:v>839740</c:v>
                </c:pt>
                <c:pt idx="1">
                  <c:v>6229420</c:v>
                </c:pt>
                <c:pt idx="2">
                  <c:v>7018350</c:v>
                </c:pt>
                <c:pt idx="3">
                  <c:v>7138350</c:v>
                </c:pt>
                <c:pt idx="4">
                  <c:v>7138350</c:v>
                </c:pt>
                <c:pt idx="5">
                  <c:v>7138350</c:v>
                </c:pt>
                <c:pt idx="6">
                  <c:v>7138350</c:v>
                </c:pt>
                <c:pt idx="7">
                  <c:v>7138350</c:v>
                </c:pt>
                <c:pt idx="8">
                  <c:v>7138350</c:v>
                </c:pt>
              </c:numCache>
            </c:numRef>
          </c:val>
          <c:smooth val="0"/>
          <c:extLst>
            <c:ext xmlns:c16="http://schemas.microsoft.com/office/drawing/2014/chart" uri="{C3380CC4-5D6E-409C-BE32-E72D297353CC}">
              <c16:uniqueId val="{00000000-198D-4249-935E-1C248D254E5A}"/>
            </c:ext>
          </c:extLst>
        </c:ser>
        <c:ser>
          <c:idx val="1"/>
          <c:order val="1"/>
          <c:tx>
            <c:strRef>
              <c:f>'Cost Control'!$O$17</c:f>
              <c:strCache>
                <c:ptCount val="1"/>
                <c:pt idx="0">
                  <c:v>Actual</c:v>
                </c:pt>
              </c:strCache>
            </c:strRef>
          </c:tx>
          <c:spPr>
            <a:ln w="28575" cap="rnd">
              <a:solidFill>
                <a:srgbClr val="C45911"/>
              </a:solidFill>
              <a:round/>
            </a:ln>
            <a:effectLst/>
          </c:spPr>
          <c:marker>
            <c:symbol val="circle"/>
            <c:size val="5"/>
            <c:spPr>
              <a:solidFill>
                <a:schemeClr val="accent2"/>
              </a:solidFill>
              <a:ln w="9525">
                <a:solidFill>
                  <a:srgbClr val="C45911"/>
                </a:solidFill>
              </a:ln>
              <a:effectLst/>
            </c:spPr>
          </c:marker>
          <c:cat>
            <c:numRef>
              <c:f>'Cost Control'!$M$18:$M$26</c:f>
              <c:numCache>
                <c:formatCode>d\-mmm</c:formatCode>
                <c:ptCount val="9"/>
                <c:pt idx="0">
                  <c:v>46277</c:v>
                </c:pt>
                <c:pt idx="1">
                  <c:v>46284</c:v>
                </c:pt>
                <c:pt idx="2">
                  <c:v>46291</c:v>
                </c:pt>
                <c:pt idx="3">
                  <c:v>46298</c:v>
                </c:pt>
                <c:pt idx="4">
                  <c:v>46305</c:v>
                </c:pt>
                <c:pt idx="5">
                  <c:v>46312</c:v>
                </c:pt>
                <c:pt idx="6">
                  <c:v>46319</c:v>
                </c:pt>
                <c:pt idx="7">
                  <c:v>46326</c:v>
                </c:pt>
                <c:pt idx="8">
                  <c:v>46333</c:v>
                </c:pt>
              </c:numCache>
            </c:numRef>
          </c:cat>
          <c:val>
            <c:numRef>
              <c:f>'Cost Control'!$O$18:$O$26</c:f>
              <c:numCache>
                <c:formatCode>#,##0</c:formatCode>
                <c:ptCount val="9"/>
                <c:pt idx="0">
                  <c:v>1170100</c:v>
                </c:pt>
                <c:pt idx="1">
                  <c:v>6464100</c:v>
                </c:pt>
                <c:pt idx="2">
                  <c:v>6464100</c:v>
                </c:pt>
                <c:pt idx="3">
                  <c:v>#N/A</c:v>
                </c:pt>
                <c:pt idx="4">
                  <c:v>#N/A</c:v>
                </c:pt>
                <c:pt idx="5">
                  <c:v>#N/A</c:v>
                </c:pt>
                <c:pt idx="6">
                  <c:v>#N/A</c:v>
                </c:pt>
                <c:pt idx="7">
                  <c:v>#N/A</c:v>
                </c:pt>
                <c:pt idx="8">
                  <c:v>#N/A</c:v>
                </c:pt>
              </c:numCache>
            </c:numRef>
          </c:val>
          <c:smooth val="0"/>
          <c:extLst>
            <c:ext xmlns:c16="http://schemas.microsoft.com/office/drawing/2014/chart" uri="{C3380CC4-5D6E-409C-BE32-E72D297353CC}">
              <c16:uniqueId val="{00000001-198D-4249-935E-1C248D254E5A}"/>
            </c:ext>
          </c:extLst>
        </c:ser>
        <c:dLbls>
          <c:showLegendKey val="0"/>
          <c:showVal val="0"/>
          <c:showCatName val="0"/>
          <c:showSerName val="0"/>
          <c:showPercent val="0"/>
          <c:showBubbleSize val="0"/>
        </c:dLbls>
        <c:marker val="1"/>
        <c:smooth val="0"/>
        <c:axId val="56618240"/>
        <c:axId val="2667408"/>
      </c:lineChart>
      <c:catAx>
        <c:axId val="56618240"/>
        <c:scaling>
          <c:orientation val="minMax"/>
        </c:scaling>
        <c:delete val="0"/>
        <c:axPos val="b"/>
        <c:numFmt formatCode="dd\-m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7408"/>
        <c:crosses val="autoZero"/>
        <c:auto val="0"/>
        <c:lblAlgn val="ctr"/>
        <c:lblOffset val="100"/>
        <c:noMultiLvlLbl val="0"/>
      </c:catAx>
      <c:valAx>
        <c:axId val="26674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6182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[115 kWp Commercial Rooftop - Design, BOM, Procurement and Cost Control.xlsx]Analysis!ptBudget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E"/>
              <a:t>Budget by category, with cumulative share (Pareto)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F386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Analysis!$C$5</c:f>
              <c:strCache>
                <c:ptCount val="1"/>
                <c:pt idx="0">
                  <c:v>Budget (PKR) </c:v>
                </c:pt>
              </c:strCache>
            </c:strRef>
          </c:tx>
          <c:spPr>
            <a:solidFill>
              <a:srgbClr val="1F3864"/>
            </a:solidFill>
            <a:ln>
              <a:noFill/>
            </a:ln>
            <a:effectLst/>
          </c:spPr>
          <c:invertIfNegative val="0"/>
          <c:cat>
            <c:strRef>
              <c:f>Analysis!$B$6:$B$14</c:f>
              <c:strCache>
                <c:ptCount val="8"/>
                <c:pt idx="0">
                  <c:v>Modules</c:v>
                </c:pt>
                <c:pt idx="1">
                  <c:v>Inverter and monitoring</c:v>
                </c:pt>
                <c:pt idx="2">
                  <c:v>Mounting</c:v>
                </c:pt>
                <c:pt idx="3">
                  <c:v>Labour and services</c:v>
                </c:pt>
                <c:pt idx="4">
                  <c:v>AC electrical</c:v>
                </c:pt>
                <c:pt idx="5">
                  <c:v>DC electrical</c:v>
                </c:pt>
                <c:pt idx="6">
                  <c:v>Approvals</c:v>
                </c:pt>
                <c:pt idx="7">
                  <c:v>Earthing</c:v>
                </c:pt>
              </c:strCache>
            </c:strRef>
          </c:cat>
          <c:val>
            <c:numRef>
              <c:f>Analysis!$C$6:$C$14</c:f>
              <c:numCache>
                <c:formatCode>#,##0</c:formatCode>
                <c:ptCount val="8"/>
                <c:pt idx="0">
                  <c:v>3100680</c:v>
                </c:pt>
                <c:pt idx="1">
                  <c:v>1492000</c:v>
                </c:pt>
                <c:pt idx="2">
                  <c:v>839740</c:v>
                </c:pt>
                <c:pt idx="3">
                  <c:v>640000</c:v>
                </c:pt>
                <c:pt idx="4">
                  <c:v>393500</c:v>
                </c:pt>
                <c:pt idx="5">
                  <c:v>368430</c:v>
                </c:pt>
                <c:pt idx="6">
                  <c:v>200000</c:v>
                </c:pt>
                <c:pt idx="7">
                  <c:v>104000</c:v>
                </c:pt>
              </c:numCache>
            </c:numRef>
          </c:val>
          <c:extLst>
            <c:ext xmlns:c16="http://schemas.microsoft.com/office/drawing/2014/chart" uri="{C3380CC4-5D6E-409C-BE32-E72D297353CC}">
              <c16:uniqueId val="{00000001-FDEF-42BD-8F78-853A312716A6}"/>
            </c:ext>
          </c:extLst>
        </c:ser>
        <c:dLbls>
          <c:showLegendKey val="0"/>
          <c:showVal val="0"/>
          <c:showCatName val="0"/>
          <c:showSerName val="0"/>
          <c:showPercent val="0"/>
          <c:showBubbleSize val="0"/>
        </c:dLbls>
        <c:gapWidth val="219"/>
        <c:overlap val="-27"/>
        <c:axId val="56616384"/>
        <c:axId val="2646768"/>
      </c:barChart>
      <c:lineChart>
        <c:grouping val="standard"/>
        <c:varyColors val="0"/>
        <c:ser>
          <c:idx val="1"/>
          <c:order val="1"/>
          <c:tx>
            <c:strRef>
              <c:f>Analysis!$D$5</c:f>
              <c:strCache>
                <c:ptCount val="1"/>
                <c:pt idx="0">
                  <c:v>Cumulative share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Analysis!$B$6:$B$14</c:f>
              <c:strCache>
                <c:ptCount val="8"/>
                <c:pt idx="0">
                  <c:v>Modules</c:v>
                </c:pt>
                <c:pt idx="1">
                  <c:v>Inverter and monitoring</c:v>
                </c:pt>
                <c:pt idx="2">
                  <c:v>Mounting</c:v>
                </c:pt>
                <c:pt idx="3">
                  <c:v>Labour and services</c:v>
                </c:pt>
                <c:pt idx="4">
                  <c:v>AC electrical</c:v>
                </c:pt>
                <c:pt idx="5">
                  <c:v>DC electrical</c:v>
                </c:pt>
                <c:pt idx="6">
                  <c:v>Approvals</c:v>
                </c:pt>
                <c:pt idx="7">
                  <c:v>Earthing</c:v>
                </c:pt>
              </c:strCache>
            </c:strRef>
          </c:cat>
          <c:val>
            <c:numRef>
              <c:f>Analysis!$D$6:$D$14</c:f>
              <c:numCache>
                <c:formatCode>0.0%</c:formatCode>
                <c:ptCount val="8"/>
                <c:pt idx="0">
                  <c:v>0.43436928702010968</c:v>
                </c:pt>
                <c:pt idx="1">
                  <c:v>0.6433811735204914</c:v>
                </c:pt>
                <c:pt idx="2">
                  <c:v>0.76101900299088721</c:v>
                </c:pt>
                <c:pt idx="3">
                  <c:v>0.8506755762886381</c:v>
                </c:pt>
                <c:pt idx="4">
                  <c:v>0.90580036002717712</c:v>
                </c:pt>
                <c:pt idx="5">
                  <c:v>0.95741312768356834</c:v>
                </c:pt>
                <c:pt idx="6">
                  <c:v>0.98543080683911544</c:v>
                </c:pt>
                <c:pt idx="7">
                  <c:v>1</c:v>
                </c:pt>
              </c:numCache>
            </c:numRef>
          </c:val>
          <c:smooth val="0"/>
          <c:extLst>
            <c:ext xmlns:c16="http://schemas.microsoft.com/office/drawing/2014/chart" uri="{C3380CC4-5D6E-409C-BE32-E72D297353CC}">
              <c16:uniqueId val="{00000002-FDEF-42BD-8F78-853A312716A6}"/>
            </c:ext>
          </c:extLst>
        </c:ser>
        <c:dLbls>
          <c:showLegendKey val="0"/>
          <c:showVal val="0"/>
          <c:showCatName val="0"/>
          <c:showSerName val="0"/>
          <c:showPercent val="0"/>
          <c:showBubbleSize val="0"/>
        </c:dLbls>
        <c:marker val="1"/>
        <c:smooth val="0"/>
        <c:axId val="101702912"/>
        <c:axId val="2654928"/>
      </c:lineChart>
      <c:catAx>
        <c:axId val="56616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46768"/>
        <c:crosses val="autoZero"/>
        <c:auto val="1"/>
        <c:lblAlgn val="ctr"/>
        <c:lblOffset val="100"/>
        <c:noMultiLvlLbl val="0"/>
      </c:catAx>
      <c:valAx>
        <c:axId val="26467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616384"/>
        <c:crosses val="autoZero"/>
        <c:crossBetween val="between"/>
      </c:valAx>
      <c:valAx>
        <c:axId val="2654928"/>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702912"/>
        <c:crosses val="max"/>
        <c:crossBetween val="between"/>
      </c:valAx>
      <c:catAx>
        <c:axId val="101702912"/>
        <c:scaling>
          <c:orientation val="minMax"/>
        </c:scaling>
        <c:delete val="1"/>
        <c:axPos val="b"/>
        <c:numFmt formatCode="General" sourceLinked="1"/>
        <c:majorTickMark val="out"/>
        <c:minorTickMark val="none"/>
        <c:tickLblPos val="nextTo"/>
        <c:crossAx val="2654928"/>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0</xdr:colOff>
      <xdr:row>9</xdr:row>
      <xdr:rowOff>0</xdr:rowOff>
    </xdr:from>
    <xdr:to>
      <xdr:col>9</xdr:col>
      <xdr:colOff>787400</xdr:colOff>
      <xdr:row>25</xdr:row>
      <xdr:rowOff>58420</xdr:rowOff>
    </xdr:to>
    <xdr:graphicFrame macro="">
      <xdr:nvGraphicFramePr>
        <xdr:cNvPr id="2" name="Chart 1">
          <a:extLst>
            <a:ext uri="{FF2B5EF4-FFF2-40B4-BE49-F238E27FC236}">
              <a16:creationId xmlns:a16="http://schemas.microsoft.com/office/drawing/2014/main" id="{A28B1306-702C-0745-C6B5-BBB911C5BE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9</xdr:row>
      <xdr:rowOff>0</xdr:rowOff>
    </xdr:from>
    <xdr:to>
      <xdr:col>19</xdr:col>
      <xdr:colOff>0</xdr:colOff>
      <xdr:row>25</xdr:row>
      <xdr:rowOff>58420</xdr:rowOff>
    </xdr:to>
    <xdr:graphicFrame macro="">
      <xdr:nvGraphicFramePr>
        <xdr:cNvPr id="3" name="Chart 2">
          <a:extLst>
            <a:ext uri="{FF2B5EF4-FFF2-40B4-BE49-F238E27FC236}">
              <a16:creationId xmlns:a16="http://schemas.microsoft.com/office/drawing/2014/main" id="{32509AE7-DC50-BECE-1C20-BFC27000E6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4</xdr:row>
      <xdr:rowOff>0</xdr:rowOff>
    </xdr:from>
    <xdr:to>
      <xdr:col>8</xdr:col>
      <xdr:colOff>584200</xdr:colOff>
      <xdr:row>21</xdr:row>
      <xdr:rowOff>66040</xdr:rowOff>
    </xdr:to>
    <mc:AlternateContent xmlns:mc="http://schemas.openxmlformats.org/markup-compatibility/2006">
      <mc:Choice xmlns:a14="http://schemas.microsoft.com/office/drawing/2010/main" Requires="a14">
        <xdr:graphicFrame macro="">
          <xdr:nvGraphicFramePr>
            <xdr:cNvPr id="2" name="slSupplier">
              <a:extLst>
                <a:ext uri="{FF2B5EF4-FFF2-40B4-BE49-F238E27FC236}">
                  <a16:creationId xmlns:a16="http://schemas.microsoft.com/office/drawing/2014/main" id="{D1754C31-A819-0421-A922-36B80E1302D8}"/>
                </a:ext>
              </a:extLst>
            </xdr:cNvPr>
            <xdr:cNvGraphicFramePr/>
          </xdr:nvGraphicFramePr>
          <xdr:xfrm>
            <a:off x="0" y="0"/>
            <a:ext cx="0" cy="0"/>
          </xdr:xfrm>
          <a:graphic>
            <a:graphicData uri="http://schemas.microsoft.com/office/drawing/2010/slicer">
              <sle:slicer xmlns:sle="http://schemas.microsoft.com/office/drawing/2010/slicer" name="slSupplier"/>
            </a:graphicData>
          </a:graphic>
        </xdr:graphicFrame>
      </mc:Choice>
      <mc:Fallback>
        <xdr:sp macro="" textlink="">
          <xdr:nvSpPr>
            <xdr:cNvPr id="0" name=""/>
            <xdr:cNvSpPr>
              <a:spLocks noTextEdit="1"/>
            </xdr:cNvSpPr>
          </xdr:nvSpPr>
          <xdr:spPr>
            <a:xfrm>
              <a:off x="4865688" y="896938"/>
              <a:ext cx="2417762" cy="3169602"/>
            </a:xfrm>
            <a:prstGeom prst="rect">
              <a:avLst/>
            </a:prstGeom>
            <a:solidFill>
              <a:prstClr val="white"/>
            </a:solidFill>
            <a:ln w="1">
              <a:solidFill>
                <a:prstClr val="green"/>
              </a:solidFill>
            </a:ln>
          </xdr:spPr>
          <xdr:txBody>
            <a:bodyPr vertOverflow="clip" horzOverflow="clip"/>
            <a:lstStyle/>
            <a:p>
              <a:r>
                <a:rPr lang="en-I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0</xdr:colOff>
      <xdr:row>4</xdr:row>
      <xdr:rowOff>0</xdr:rowOff>
    </xdr:from>
    <xdr:to>
      <xdr:col>20</xdr:col>
      <xdr:colOff>406400</xdr:colOff>
      <xdr:row>26</xdr:row>
      <xdr:rowOff>40640</xdr:rowOff>
    </xdr:to>
    <xdr:graphicFrame macro="">
      <xdr:nvGraphicFramePr>
        <xdr:cNvPr id="3" name="Chart 2">
          <a:extLst>
            <a:ext uri="{FF2B5EF4-FFF2-40B4-BE49-F238E27FC236}">
              <a16:creationId xmlns:a16="http://schemas.microsoft.com/office/drawing/2014/main" id="{CBD58836-88D9-A8BB-C344-72A00762B1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ama Javed" refreshedDate="46286.846057291667" createdVersion="8" refreshedVersion="8" minRefreshableVersion="3" recordCount="23" xr:uid="{38432E7D-F62E-4C0B-87A9-52532094AC98}">
  <cacheSource type="worksheet">
    <worksheetSource name="tblBOM"/>
  </cacheSource>
  <cacheFields count="11">
    <cacheField name="Line" numFmtId="0">
      <sharedItems containsSemiMixedTypes="0" containsString="0" containsNumber="1" containsInteger="1" minValue="1" maxValue="23"/>
    </cacheField>
    <cacheField name="Item" numFmtId="0">
      <sharedItems/>
    </cacheField>
    <cacheField name="Category" numFmtId="0">
      <sharedItems count="8">
        <s v="Modules"/>
        <s v="Inverter and monitoring"/>
        <s v="Mounting"/>
        <s v="DC electrical"/>
        <s v="AC electrical"/>
        <s v="Earthing"/>
        <s v="Labour and services"/>
        <s v="Approvals"/>
      </sharedItems>
    </cacheField>
    <cacheField name="Unit" numFmtId="0">
      <sharedItems/>
    </cacheField>
    <cacheField name="Qty" numFmtId="3">
      <sharedItems containsSemiMixedTypes="0" containsString="0" containsNumber="1" containsInteger="1" minValue="1" maxValue="484"/>
    </cacheField>
    <cacheField name="Quantity basis" numFmtId="0">
      <sharedItems/>
    </cacheField>
    <cacheField name="Unit rate (PKR)" numFmtId="3">
      <sharedItems containsSemiMixedTypes="0" containsString="0" containsNumber="1" containsInteger="1" minValue="220" maxValue="1450000"/>
    </cacheField>
    <cacheField name="Budget (PKR)" numFmtId="3">
      <sharedItems containsSemiMixedTypes="0" containsString="0" containsNumber="1" containsInteger="1" minValue="8750" maxValue="3100680"/>
    </cacheField>
    <cacheField name="Supplier" numFmtId="0">
      <sharedItems count="8">
        <s v="Module distributor"/>
        <s v="Inverter distributor"/>
        <s v="Mounting supplier"/>
        <s v="Electrical wholesaler"/>
        <s v="Installation subcontractor"/>
        <s v="Logistics provider"/>
        <s v="In-house"/>
        <s v="DISCO"/>
      </sharedItems>
    </cacheField>
    <cacheField name="Lead (wd)" numFmtId="0">
      <sharedItems containsSemiMixedTypes="0" containsString="0" containsNumber="1" containsInteger="1" minValue="3" maxValue="35"/>
    </cacheField>
    <cacheField name="Needed for" numFmtId="0">
      <sharedItems/>
    </cacheField>
  </cacheFields>
  <extLst>
    <ext xmlns:x14="http://schemas.microsoft.com/office/spreadsheetml/2009/9/main" uri="{725AE2AE-9491-48be-B2B4-4EB974FC3084}">
      <x14:pivotCacheDefinition pivotCacheId="2619080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n v="1"/>
    <s v="PV module, Jinko JKM580N-72HL4-V 580 W"/>
    <x v="0"/>
    <s v="pcs"/>
    <n v="198"/>
    <s v="Strings x modules per string"/>
    <n v="15660"/>
    <n v="3100680"/>
    <x v="0"/>
    <n v="8"/>
    <s v="Module installation start"/>
  </r>
  <r>
    <n v="2"/>
    <s v="Inverter, Huawei SUN2000-100KTL-M2"/>
    <x v="1"/>
    <s v="pcs"/>
    <n v="1"/>
    <s v="Number of inverters"/>
    <n v="1450000"/>
    <n v="1450000"/>
    <x v="1"/>
    <n v="12"/>
    <s v="Electrical installation start"/>
  </r>
  <r>
    <n v="3"/>
    <s v="Smart Dongle 4G (monitoring)"/>
    <x v="1"/>
    <s v="pcs"/>
    <n v="1"/>
    <s v="One per inverter"/>
    <n v="42000"/>
    <n v="42000"/>
    <x v="1"/>
    <n v="12"/>
    <s v="Electrical installation start"/>
  </r>
  <r>
    <n v="4"/>
    <s v="Aluminium mounting rail, 4.2 m"/>
    <x v="2"/>
    <s v="pcs"/>
    <n v="110"/>
    <s v="2 rails per row, row length / rail length, rounded up"/>
    <n v="4800"/>
    <n v="528000"/>
    <x v="2"/>
    <n v="7"/>
    <s v="Mounting installation start"/>
  </r>
  <r>
    <n v="5"/>
    <s v="Rail splice"/>
    <x v="2"/>
    <s v="pcs"/>
    <n v="88"/>
    <s v="One per joint between rail pieces"/>
    <n v="350"/>
    <n v="30800"/>
    <x v="2"/>
    <n v="7"/>
    <s v="Mounting installation start"/>
  </r>
  <r>
    <n v="6"/>
    <s v="Mid clamp"/>
    <x v="2"/>
    <s v="pcs"/>
    <n v="374"/>
    <s v="2 per gap between modules"/>
    <n v="220"/>
    <n v="82280"/>
    <x v="2"/>
    <n v="7"/>
    <s v="Mounting installation start"/>
  </r>
  <r>
    <n v="7"/>
    <s v="End clamp"/>
    <x v="2"/>
    <s v="pcs"/>
    <n v="44"/>
    <s v="4 per row"/>
    <n v="240"/>
    <n v="10560"/>
    <x v="2"/>
    <n v="7"/>
    <s v="Mounting installation start"/>
  </r>
  <r>
    <n v="8"/>
    <s v="Roof attachment (L-foot with fixings)"/>
    <x v="2"/>
    <s v="pcs"/>
    <n v="418"/>
    <s v="Every 1.2 m along each rail"/>
    <n v="450"/>
    <n v="188100"/>
    <x v="2"/>
    <n v="7"/>
    <s v="Mounting installation start"/>
  </r>
  <r>
    <n v="9"/>
    <s v="DC solar cable 6 mm2, red"/>
    <x v="3"/>
    <s v="m"/>
    <n v="484"/>
    <s v="One conductor per string plus waste"/>
    <n v="260"/>
    <n v="125840"/>
    <x v="3"/>
    <n v="4"/>
    <s v="Module installation start"/>
  </r>
  <r>
    <n v="10"/>
    <s v="DC solar cable 6 mm2, black"/>
    <x v="3"/>
    <s v="m"/>
    <n v="484"/>
    <s v="One conductor per string plus waste"/>
    <n v="260"/>
    <n v="125840"/>
    <x v="3"/>
    <n v="4"/>
    <s v="Module installation start"/>
  </r>
  <r>
    <n v="11"/>
    <s v="MC4 connector pair"/>
    <x v="3"/>
    <s v="pairs"/>
    <n v="25"/>
    <s v="2 pairs per string plus spares"/>
    <n v="350"/>
    <n v="8750"/>
    <x v="3"/>
    <n v="4"/>
    <s v="Module installation start"/>
  </r>
  <r>
    <n v="12"/>
    <s v="Cable tray, perforated, galvanised"/>
    <x v="3"/>
    <s v="m"/>
    <n v="60"/>
    <s v="Measured route"/>
    <n v="1800"/>
    <n v="108000"/>
    <x v="3"/>
    <n v="5"/>
    <s v="Electrical installation start"/>
  </r>
  <r>
    <n v="13"/>
    <s v="AC cable, 4-core 70 mm2 Cu armoured"/>
    <x v="4"/>
    <s v="m"/>
    <n v="33"/>
    <s v="Inverter to LT panel plus waste"/>
    <n v="8500"/>
    <n v="280500"/>
    <x v="3"/>
    <n v="6"/>
    <s v="Electrical installation start"/>
  </r>
  <r>
    <n v="14"/>
    <s v="MCCB 4-pole 200 A"/>
    <x v="4"/>
    <s v="pcs"/>
    <n v="1"/>
    <s v="Next rating above 160.4 A max output"/>
    <n v="85000"/>
    <n v="85000"/>
    <x v="3"/>
    <n v="7"/>
    <s v="Electrical installation start"/>
  </r>
  <r>
    <n v="15"/>
    <s v="Surge protection device, Type 2, AC"/>
    <x v="4"/>
    <s v="pcs"/>
    <n v="1"/>
    <s v="At the LT panel"/>
    <n v="28000"/>
    <n v="28000"/>
    <x v="3"/>
    <n v="7"/>
    <s v="Electrical installation start"/>
  </r>
  <r>
    <n v="16"/>
    <s v="Earth rod with inspection pit"/>
    <x v="5"/>
    <s v="pcs"/>
    <n v="2"/>
    <s v="Two earth pits"/>
    <n v="25000"/>
    <n v="50000"/>
    <x v="3"/>
    <n v="3"/>
    <s v="Mounting installation start"/>
  </r>
  <r>
    <n v="17"/>
    <s v="Earth cable 16 mm2 Cu"/>
    <x v="5"/>
    <s v="m"/>
    <n v="60"/>
    <s v="Structure and inverter bonding"/>
    <n v="900"/>
    <n v="54000"/>
    <x v="3"/>
    <n v="3"/>
    <s v="Mounting installation start"/>
  </r>
  <r>
    <n v="18"/>
    <s v="Mechanical installation crew"/>
    <x v="6"/>
    <s v="crew-days"/>
    <n v="5"/>
    <s v="Modules / productivity"/>
    <n v="30000"/>
    <n v="150000"/>
    <x v="4"/>
    <n v="5"/>
    <s v="Mounting installation start"/>
  </r>
  <r>
    <n v="19"/>
    <s v="Electrical installation crew"/>
    <x v="6"/>
    <s v="crew-days"/>
    <n v="4"/>
    <s v="Estimate"/>
    <n v="35000"/>
    <n v="140000"/>
    <x v="4"/>
    <n v="5"/>
    <s v="Electrical installation start"/>
  </r>
  <r>
    <n v="20"/>
    <s v="Transport and lifting"/>
    <x v="6"/>
    <s v="lot"/>
    <n v="1"/>
    <s v="Delivery to roof level"/>
    <n v="150000"/>
    <n v="150000"/>
    <x v="5"/>
    <n v="3"/>
    <s v="Mobilisation"/>
  </r>
  <r>
    <n v="21"/>
    <s v="Access and safety equipment"/>
    <x v="6"/>
    <s v="lot"/>
    <n v="1"/>
    <s v="Edge protection, harnesses, signage"/>
    <n v="80000"/>
    <n v="80000"/>
    <x v="6"/>
    <n v="5"/>
    <s v="Mobilisation"/>
  </r>
  <r>
    <n v="22"/>
    <s v="Testing and commissioning"/>
    <x v="6"/>
    <s v="lot"/>
    <n v="1"/>
    <s v="IR, polarity, Voc and Isc tests; inverter setup"/>
    <n v="120000"/>
    <n v="120000"/>
    <x v="6"/>
    <n v="5"/>
    <s v="Testing and commissioning"/>
  </r>
  <r>
    <n v="23"/>
    <s v="Net-metering application and bidirectional meter"/>
    <x v="7"/>
    <s v="lot"/>
    <n v="1"/>
    <s v="Application to the DISCO"/>
    <n v="200000"/>
    <n v="200000"/>
    <x v="7"/>
    <n v="35"/>
    <s v="Net-metering energisatio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BCD2DF-FE05-4DF1-8E11-86C225F06512}" name="ptBudget" cacheId="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B5:D14" firstHeaderRow="0" firstDataRow="1" firstDataCol="1"/>
  <pivotFields count="11">
    <pivotField compact="0" outline="0" showAll="0"/>
    <pivotField compact="0" outline="0" showAll="0"/>
    <pivotField axis="axisRow" compact="0" outline="0" showAll="0" sortType="descending">
      <items count="9">
        <item x="4"/>
        <item x="7"/>
        <item x="3"/>
        <item x="5"/>
        <item x="1"/>
        <item x="6"/>
        <item x="0"/>
        <item x="2"/>
        <item t="default"/>
      </items>
      <autoSortScope>
        <pivotArea dataOnly="0" outline="0" fieldPosition="0">
          <references count="1">
            <reference field="4294967294" count="1" selected="0">
              <x v="0"/>
            </reference>
          </references>
        </pivotArea>
      </autoSortScope>
    </pivotField>
    <pivotField compact="0" outline="0" showAll="0"/>
    <pivotField compact="0" numFmtId="3" outline="0" showAll="0"/>
    <pivotField compact="0" outline="0" showAll="0"/>
    <pivotField compact="0" numFmtId="3" outline="0" showAll="0"/>
    <pivotField dataField="1" compact="0" numFmtId="3" outline="0" showAll="0"/>
    <pivotField compact="0" outline="0" showAll="0">
      <items count="9">
        <item x="7"/>
        <item x="3"/>
        <item x="6"/>
        <item x="4"/>
        <item x="1"/>
        <item x="5"/>
        <item x="0"/>
        <item x="2"/>
        <item t="default"/>
      </items>
    </pivotField>
    <pivotField compact="0" outline="0" showAll="0"/>
    <pivotField compact="0" outline="0" showAll="0"/>
  </pivotFields>
  <rowFields count="1">
    <field x="2"/>
  </rowFields>
  <rowItems count="9">
    <i>
      <x v="6"/>
    </i>
    <i>
      <x v="4"/>
    </i>
    <i>
      <x v="7"/>
    </i>
    <i>
      <x v="5"/>
    </i>
    <i>
      <x/>
    </i>
    <i>
      <x v="2"/>
    </i>
    <i>
      <x v="1"/>
    </i>
    <i>
      <x v="3"/>
    </i>
    <i t="grand">
      <x/>
    </i>
  </rowItems>
  <colFields count="1">
    <field x="-2"/>
  </colFields>
  <colItems count="2">
    <i>
      <x/>
    </i>
    <i i="1">
      <x v="1"/>
    </i>
  </colItems>
  <dataFields count="2">
    <dataField name="Budget (PKR) " fld="7" baseField="0" baseItem="0" numFmtId="3"/>
    <dataField name="Cumulative share" fld="7" baseField="2" baseItem="0" numFmtId="168">
      <extLst>
        <ext xmlns:x14="http://schemas.microsoft.com/office/spreadsheetml/2009/9/main" uri="{E15A36E0-9728-4e99-A89B-3F7291B0FE68}">
          <x14:dataField pivotShowAs="percentOfRunningTotal"/>
        </ext>
      </extLst>
    </dataField>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D6B3107E-E058-4E1B-93D2-5EC384793075}" sourceName="Supplier">
  <pivotTables>
    <pivotTable tabId="6" name="ptBudget"/>
  </pivotTables>
  <data>
    <tabular pivotCacheId="261908054">
      <items count="8">
        <i x="7" s="1"/>
        <i x="3" s="1"/>
        <i x="6" s="1"/>
        <i x="4" s="1"/>
        <i x="1" s="1"/>
        <i x="5"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Supplier" xr10:uid="{F34796AA-690D-4254-B6E6-D8688D2495EF}" cache="Slicer_Supplier" caption="Supplier"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0CD263-5546-4036-AB28-F558AB9CD085}" name="tblChecks" displayName="tblChecks" ref="J20:M29" totalsRowShown="0" headerRowDxfId="57">
  <autoFilter ref="J20:M29" xr:uid="{A20CD263-5546-4036-AB28-F558AB9CD085}">
    <filterColumn colId="0" hiddenButton="1"/>
    <filterColumn colId="1" hiddenButton="1"/>
    <filterColumn colId="2" hiddenButton="1"/>
    <filterColumn colId="3" hiddenButton="1"/>
  </autoFilter>
  <tableColumns count="4">
    <tableColumn id="1" xr3:uid="{61D8D47D-91A0-407A-81B9-C500343699A8}" name="Check"/>
    <tableColumn id="2" xr3:uid="{04EF7258-E101-4973-B158-714D1357DF91}" name="Calculated"/>
    <tableColumn id="3" xr3:uid="{F811280F-9E1F-4852-A8EC-5CBF168B18C7}" name="Limit" dataDxfId="56"/>
    <tableColumn id="4" xr3:uid="{DEFE8A86-F98A-4459-B1A5-786D7FE3CA74}" name="Result" dataDxfId="55"/>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67C5D82-CCD7-442B-9002-65170E8DA429}" name="tblBOM" displayName="tblBOM" ref="B5:L29" totalsRowCount="1" headerRowDxfId="54" totalsRowDxfId="10">
  <autoFilter ref="B5:L28" xr:uid="{367C5D82-CCD7-442B-9002-65170E8DA42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FAB1EAC-E109-4340-AD04-5112A1665EB8}" name="Line" totalsRowDxfId="21"/>
    <tableColumn id="2" xr3:uid="{ACB8CC98-3E42-42F7-9C5B-28EBC969B821}" name="Item" totalsRowLabel="Total budget" totalsRowDxfId="20"/>
    <tableColumn id="3" xr3:uid="{0265DF4B-A8DB-4C79-9E86-539C2AB8A0C7}" name="Category" totalsRowDxfId="19"/>
    <tableColumn id="4" xr3:uid="{4FC3B0B5-53E5-446C-89BC-A1E783F6A63D}" name="Unit" totalsRowDxfId="18"/>
    <tableColumn id="5" xr3:uid="{F4151F58-5DF0-4FBE-9943-CEF4150B2AF5}" name="Qty" dataDxfId="53" totalsRowDxfId="17"/>
    <tableColumn id="6" xr3:uid="{9DB0A3D5-BB72-43BB-89CD-564834092F80}" name="Quantity basis" totalsRowDxfId="16"/>
    <tableColumn id="7" xr3:uid="{715031A0-6D3F-41F6-8F5C-81699EB11DFF}" name="Unit rate (PKR)" dataDxfId="51" totalsRowDxfId="15"/>
    <tableColumn id="8" xr3:uid="{22C1CB94-D5C0-4992-B4FD-45F88EC0B7BF}" name="Budget (PKR)" totalsRowFunction="sum" dataDxfId="52" totalsRowDxfId="14">
      <calculatedColumnFormula>tblBOM[[#This Row],[Qty]]*tblBOM[[#This Row],[Unit rate (PKR)]]</calculatedColumnFormula>
    </tableColumn>
    <tableColumn id="9" xr3:uid="{D125A0CC-3799-463A-AD58-DEDB27F778DE}" name="Supplier" totalsRowDxfId="13"/>
    <tableColumn id="10" xr3:uid="{8B42BF14-AEFB-4818-B62C-13E0A20FDCE2}" name="Lead (wd)" totalsRowDxfId="12"/>
    <tableColumn id="11" xr3:uid="{370D4B12-CEBA-4BBD-B961-439436AF8C24}" name="Needed for" totalsRowDxfId="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410286C-99A0-4900-888A-DAF257EB64F5}" name="tblProc" displayName="tblProc" ref="B5:L28" totalsRowShown="0" headerRowDxfId="50">
  <autoFilter ref="B5:L28" xr:uid="{8410286C-99A0-4900-888A-DAF257EB64F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30ACBB2-5B4D-4DF5-A6C0-D3DB6C1C9708}" name="Line"/>
    <tableColumn id="2" xr3:uid="{F546E024-27D7-46EC-973E-CDFACF6240FE}" name="Item">
      <calculatedColumnFormula>_xlfn.XLOOKUP(tblProc[[#This Row],[Line]],tblBOM[Line],tblBOM[Item])</calculatedColumnFormula>
    </tableColumn>
    <tableColumn id="3" xr3:uid="{2606EA6B-EB0C-48CF-A10D-5B6361CB656E}" name="Needed for">
      <calculatedColumnFormula>_xlfn.XLOOKUP(tblProc[[#This Row],[Line]],tblBOM[Line],tblBOM[Needed for])</calculatedColumnFormula>
    </tableColumn>
    <tableColumn id="4" xr3:uid="{FC9B59F6-6E53-448B-82A0-03AA6D9D37BA}" name="Required on site" dataDxfId="49">
      <calculatedColumnFormula>_xlfn.XLOOKUP(tblProc[[#This Row],[Needed for]],tblMilestones[Milestone],tblMilestones[Date])</calculatedColumnFormula>
    </tableColumn>
    <tableColumn id="5" xr3:uid="{53A799C0-988D-498B-A5EE-107E25F29527}" name="Lead (wd)">
      <calculatedColumnFormula>_xlfn.XLOOKUP(tblProc[[#This Row],[Line]],tblBOM[Line],tblBOM[Lead (wd)])</calculatedColumnFormula>
    </tableColumn>
    <tableColumn id="6" xr3:uid="{E1845469-A145-4300-B8DD-46668D279781}" name="Order by" dataDxfId="48">
      <calculatedColumnFormula>WORKDAY.INTL(tblProc[[#This Row],[Required on site]],-(tblProc[[#This Row],[Lead (wd)]]+Buffer),"0000001")</calculatedColumnFormula>
    </tableColumn>
    <tableColumn id="7" xr3:uid="{795F63E2-BFD6-4E05-BAAC-BF852722A7F0}" name="PO date" dataDxfId="47"/>
    <tableColumn id="8" xr3:uid="{A0D33F3F-5C9F-467F-9181-4421A0DC07B7}" name="Expected delivery" dataDxfId="46">
      <calculatedColumnFormula>IF(tblProc[[#This Row],[PO date]]="","",WORKDAY.INTL(tblProc[[#This Row],[PO date]],tblProc[[#This Row],[Lead (wd)]],"0000001"))</calculatedColumnFormula>
    </tableColumn>
    <tableColumn id="9" xr3:uid="{FF8D12EB-AA72-4FBF-BC10-9C26B64075FD}" name="Delivered" dataDxfId="45"/>
    <tableColumn id="10" xr3:uid="{FD918B0A-61DA-4074-BF87-9258EF9854F3}" name="Days in hand" dataDxfId="43">
      <calculatedColumnFormula array="1">_xlfn.LET(_xlpm.ros,tblProc[[#This Row],[Required on site]],_xlpm.arrive,IF(tblProc[[#This Row],[Delivered]]&lt;&gt;"",tblProc[[#This Row],[Delivered]],tblProc[[#This Row],[Expected delivery]]),IF(tblProc[[#This Row],[PO date]]="",WorkdaysBetween(StatusDate,tblProc[[#This Row],[Order by]]),WorkdaysBetween(_xlpm.arrive,_xlpm.ros)))</calculatedColumnFormula>
    </tableColumn>
    <tableColumn id="11" xr3:uid="{EAC3F614-5EB5-4463-BE96-AE6BD8CEA251}" name="Status" dataDxfId="44">
      <calculatedColumnFormula array="1">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6D4DE8-70DA-4769-961B-73454D375248}" name="tblCost" displayName="tblCost" ref="B5:J29" totalsRowCount="1" headerRowDxfId="42" totalsRowDxfId="0">
  <autoFilter ref="B5:J28" xr:uid="{136D4DE8-70DA-4769-961B-73454D37524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3E52347-EF23-41C2-B1B8-F9A9A2CE36FD}" name="Line" totalsRowDxfId="9"/>
    <tableColumn id="2" xr3:uid="{1F45486E-49DE-4D1A-A3E0-DC80A767E0E0}" name="Item" totalsRowLabel="Total" totalsRowDxfId="8">
      <calculatedColumnFormula>_xlfn.XLOOKUP(tblCost[[#This Row],[Line]],tblBOM[Line],tblBOM[Item])</calculatedColumnFormula>
    </tableColumn>
    <tableColumn id="3" xr3:uid="{FE40536C-0DE4-4CF9-BC08-3592D43D8992}" name="Category" totalsRowDxfId="7">
      <calculatedColumnFormula>_xlfn.XLOOKUP(tblCost[[#This Row],[Line]],tblBOM[Line],tblBOM[Category])</calculatedColumnFormula>
    </tableColumn>
    <tableColumn id="4" xr3:uid="{FC924F15-155F-4F98-84D9-67FBB3AB1478}" name="Budget (PKR)" totalsRowFunction="sum" dataDxfId="39" totalsRowDxfId="6">
      <calculatedColumnFormula>_xlfn.XLOOKUP(tblCost[[#This Row],[Line]],tblBOM[Line],tblBOM[Budget (PKR)])</calculatedColumnFormula>
    </tableColumn>
    <tableColumn id="5" xr3:uid="{D9C6AC61-80CB-4F9A-ACD3-0636AD541DF7}" name="Committed (PKR)" totalsRowFunction="sum" dataDxfId="38" totalsRowDxfId="5"/>
    <tableColumn id="6" xr3:uid="{00FADD21-6543-4B83-A120-62164952CC44}" name="Invoiced (PKR)" totalsRowFunction="sum" dataDxfId="36" totalsRowDxfId="4"/>
    <tableColumn id="7" xr3:uid="{B3A2C395-7EA5-4F8A-AF47-3D025D6D750B}" name="Forecast (PKR)" totalsRowFunction="sum" dataDxfId="37" totalsRowDxfId="3">
      <calculatedColumnFormula>IF(tblCost[[#This Row],[Committed (PKR)]]&gt;0,tblCost[[#This Row],[Committed (PKR)]],tblCost[[#This Row],[Budget (PKR)]])</calculatedColumnFormula>
    </tableColumn>
    <tableColumn id="8" xr3:uid="{5FC16E18-DF23-4D4B-998B-096FA9DE160E}" name="Variance (PKR)" totalsRowFunction="sum" dataDxfId="41" totalsRowDxfId="2">
      <calculatedColumnFormula>tblCost[[#This Row],[Budget (PKR)]]-tblCost[[#This Row],[Forecast (PKR)]]</calculatedColumnFormula>
    </tableColumn>
    <tableColumn id="9" xr3:uid="{95A79CEA-55AF-4FA0-AD9E-5FF8CF69FC3F}" name="Var %" dataDxfId="40" totalsRowDxfId="1">
      <calculatedColumnFormula>IFERROR(ROUND(tblCost[[#This Row],[Variance (PKR)]]/tblCost[[#This Row],[Budget (PKR)]],3),0)</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91C0141-6DAE-43E8-BF26-719BDB7BC356}" name="tblModules" displayName="tblModules" ref="B6:L9" totalsRowShown="0" headerRowDxfId="61">
  <autoFilter ref="B6:L9" xr:uid="{991C0141-6DAE-43E8-BF26-719BDB7BC3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56AA1590-43BF-423F-A25B-0251693ABFE1}" name="Model"/>
    <tableColumn id="2" xr3:uid="{0F75BE5F-160E-4A58-A39D-2C629822DDC7}" name="Pmax (W)"/>
    <tableColumn id="3" xr3:uid="{A0F4200E-237E-4C36-B750-401EB2CBF0AB}" name="Vmp (V)"/>
    <tableColumn id="4" xr3:uid="{56EC76AC-C81A-4144-ACE0-6FF7428CCB6C}" name="Imp (A)"/>
    <tableColumn id="5" xr3:uid="{18BD5CA9-941D-4DA8-A32D-13C7E1EA96BF}" name="Voc (V)"/>
    <tableColumn id="6" xr3:uid="{58A4E67A-1B16-4E5B-956B-535614DE1DE3}" name="Isc (A)"/>
    <tableColumn id="7" xr3:uid="{1B996C60-A4FE-4016-8D80-AC84A5462C6E}" name="Tk Voc (%/C)"/>
    <tableColumn id="8" xr3:uid="{A66A62B2-E711-46CD-A9FD-F0E7D96AEE7B}" name="Tk Pmax (%/C)"/>
    <tableColumn id="9" xr3:uid="{33C7D082-3D5C-40DB-9FB2-4DA335164714}" name="Length (m)"/>
    <tableColumn id="10" xr3:uid="{7DF3899E-95E7-4D38-BA67-B948A8FFB98B}" name="Width (m)"/>
    <tableColumn id="11" xr3:uid="{C96BF023-4019-435A-8A1A-A5499BB78B6F}" name="Max system V"/>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D391A9-C676-4D97-847D-F0678ACB2200}" name="tblInverters" displayName="tblInverters" ref="B13:L14" totalsRowShown="0" headerRowDxfId="60">
  <autoFilter ref="B13:L14" xr:uid="{62D391A9-C676-4D97-847D-F0678ACB22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AD16328-FE0C-499C-AEAB-8D65EF8C54A4}" name="Model"/>
    <tableColumn id="2" xr3:uid="{21C7A036-36F4-45F3-974D-450E5749B6A5}" name="Rated AC (kW)"/>
    <tableColumn id="3" xr3:uid="{8EFA04DF-60D2-46EB-B507-D2CBFA218746}" name="Max DC V"/>
    <tableColumn id="4" xr3:uid="{AA83790F-2BFE-4B20-A9C1-E95035843952}" name="MPPT min V"/>
    <tableColumn id="5" xr3:uid="{E7E52AD8-658C-4E67-ADC4-382B1051BE31}" name="MPPT max V"/>
    <tableColumn id="6" xr3:uid="{5DA7CD60-FE45-4F84-B860-F1E157191ED0}" name="MPPTs"/>
    <tableColumn id="7" xr3:uid="{08C2E45E-8B80-43F7-8615-07EFDA847346}" name="Inputs per MPPT"/>
    <tableColumn id="8" xr3:uid="{DCE1CD6E-CEC8-4CC5-9FA8-A02459B0B11F}" name="Max A per input"/>
    <tableColumn id="9" xr3:uid="{3B2B7051-084D-458A-B6A9-A2BE28B26170}" name="Max A per MPPT"/>
    <tableColumn id="10" xr3:uid="{41EAB133-ACA3-401A-99E0-467A613A4D88}" name="Max Isc per MPPT"/>
    <tableColumn id="11" xr3:uid="{64285F51-6AC3-42A3-BCB2-BB99E767C990}" name="Max AC A"/>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1B29E98-9BD3-48B6-B525-0DF79D069ABA}" name="tblMilestones" displayName="tblMilestones" ref="B18:D25" totalsRowShown="0" headerRowDxfId="59">
  <autoFilter ref="B18:D25" xr:uid="{61B29E98-9BD3-48B6-B525-0DF79D069ABA}">
    <filterColumn colId="0" hiddenButton="1"/>
    <filterColumn colId="1" hiddenButton="1"/>
    <filterColumn colId="2" hiddenButton="1"/>
  </autoFilter>
  <tableColumns count="3">
    <tableColumn id="1" xr3:uid="{D0D49790-49B7-4E12-AE82-6BF54337DC9C}" name="Milestone"/>
    <tableColumn id="2" xr3:uid="{61EFD020-6C16-4F40-ADA1-A41BA493491E}" name="Offset (wd)"/>
    <tableColumn id="3" xr3:uid="{E12F25A9-8143-4B1F-98D5-766F8A612E2A}" name="Date" dataDxfId="58">
      <calculatedColumnFormula array="1">WORKDAY.INTL(StartDate,tblMilestones[[#This Row],[Offset (wd)]],"0000001")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EC30E-EFBE-4C43-A203-4FF9CA7B349E}">
  <sheetPr>
    <tabColor rgb="FF1F3864"/>
  </sheetPr>
  <dimension ref="B2:S36"/>
  <sheetViews>
    <sheetView showGridLines="0" tabSelected="1" zoomScale="71" zoomScaleNormal="71" workbookViewId="0"/>
  </sheetViews>
  <sheetFormatPr defaultRowHeight="14.4" x14ac:dyDescent="0.3"/>
  <cols>
    <col min="1" max="1" width="2.77734375" customWidth="1"/>
    <col min="2" max="19" width="13.33203125" customWidth="1"/>
  </cols>
  <sheetData>
    <row r="2" spans="2:19" ht="28.05" customHeight="1" x14ac:dyDescent="0.45">
      <c r="B2" s="1" t="s">
        <v>250</v>
      </c>
    </row>
    <row r="3" spans="2:19" x14ac:dyDescent="0.3">
      <c r="B3" s="2" t="str">
        <f>"Demonstration project, Islamabad. Status date "&amp;TEXT(StatusDate,"ddd dd mmm yyyy")&amp;". Illustrative rates in PKR; equipment data from manufacturer datasheets."</f>
        <v>Demonstration project, Islamabad. Status date Mon 21 Sept 2026. Illustrative rates in PKR; equipment data from manufacturer datasheets.</v>
      </c>
    </row>
    <row r="4" spans="2:19" ht="7.95" customHeight="1" x14ac:dyDescent="0.3"/>
    <row r="5" spans="2:19" ht="18" customHeight="1" x14ac:dyDescent="0.3">
      <c r="B5" s="40" t="s">
        <v>251</v>
      </c>
      <c r="C5" s="38"/>
      <c r="D5" s="38"/>
      <c r="E5" s="40" t="s">
        <v>252</v>
      </c>
      <c r="F5" s="38"/>
      <c r="G5" s="38"/>
      <c r="H5" s="40" t="s">
        <v>253</v>
      </c>
      <c r="I5" s="38"/>
      <c r="J5" s="38"/>
      <c r="K5" s="40" t="s">
        <v>254</v>
      </c>
      <c r="L5" s="38"/>
      <c r="M5" s="38"/>
      <c r="N5" s="40" t="s">
        <v>255</v>
      </c>
      <c r="O5" s="38"/>
      <c r="P5" s="38"/>
      <c r="Q5" s="40" t="s">
        <v>256</v>
      </c>
      <c r="R5" s="38"/>
      <c r="S5" s="39"/>
    </row>
    <row r="6" spans="2:19" ht="34.049999999999997" customHeight="1" x14ac:dyDescent="0.5">
      <c r="B6" s="41">
        <f>DCkWp</f>
        <v>114.84</v>
      </c>
      <c r="C6" s="42"/>
      <c r="D6" s="42"/>
      <c r="E6" s="47" t="str" cm="1">
        <f t="array" ref="E6">COUNTIF(ChecksResult,"PASS")&amp;" of "&amp;ROWS(ChecksResult)&amp;" pass"</f>
        <v>9 of 9 pass</v>
      </c>
      <c r="F6" s="42"/>
      <c r="G6" s="42"/>
      <c r="H6" s="48">
        <f>SUM(tblCost[Budget (PKR)])</f>
        <v>7138350</v>
      </c>
      <c r="I6" s="42"/>
      <c r="J6" s="42"/>
      <c r="K6" s="48">
        <f>SUM(tblCost[Committed (PKR)])</f>
        <v>6464100</v>
      </c>
      <c r="L6" s="42"/>
      <c r="M6" s="42"/>
      <c r="N6" s="48">
        <f>SUM(tblCost[Forecast (PKR)])</f>
        <v>7177530</v>
      </c>
      <c r="O6" s="42"/>
      <c r="P6" s="42"/>
      <c r="Q6" s="49" t="str">
        <f>COUNTIFS(tblProc[Status],"Order overdue")+COUNTIFS(tblProc[Status],"Late delivery")&amp;" red, "&amp;COUNTIFS(tblProc[Status],"Order due")&amp;" amber"</f>
        <v>3 red, 5 amber</v>
      </c>
      <c r="R6" s="42"/>
      <c r="S6" s="43"/>
    </row>
    <row r="7" spans="2:19" ht="18" customHeight="1" x14ac:dyDescent="0.3">
      <c r="B7" s="44" t="str">
        <f>"DC/AC "&amp;TEXT(DCAC,"0.00")&amp;", "&amp;Strings&amp;" strings of "&amp;ModsPerString</f>
        <v>DC/AC 1.15, 11 strings of 18</v>
      </c>
      <c r="C7" s="45"/>
      <c r="D7" s="45"/>
      <c r="E7" s="44" t="str">
        <f>"String sizing against datasheets"</f>
        <v>String sizing against datasheets</v>
      </c>
      <c r="F7" s="45"/>
      <c r="G7" s="45"/>
      <c r="H7" s="44" t="str">
        <f>"PKR "&amp;TEXT(SUM(tblCost[Budget (PKR)])/(DCkWp*1000),"0.0")&amp;" per Wp"</f>
        <v>PKR 62.2 per Wp</v>
      </c>
      <c r="I7" s="45"/>
      <c r="J7" s="45"/>
      <c r="K7" s="44" t="str">
        <f>TEXT(SUM(tblCost[Committed (PKR)])/SUM(tblCost[Budget (PKR)]),"0%")&amp;" of budget"</f>
        <v>91% of budget</v>
      </c>
      <c r="L7" s="45"/>
      <c r="M7" s="45"/>
      <c r="N7" s="44" t="str">
        <f>_xlfn.LET(_xlpm.v,SUM(tblCost[Variance (PKR)]),IF(_xlpm.v&lt;0,"PKR "&amp;TEXT(-_xlpm.v,"#,##0")&amp;" over budget","PKR "&amp;TEXT(_xlpm.v,"#,##0")&amp;" under budget"))</f>
        <v>PKR 39,180 over budget</v>
      </c>
      <c r="O7" s="45"/>
      <c r="P7" s="45"/>
      <c r="Q7" s="44" t="str">
        <f>COUNTIFS(tblProc[Status],"Delivered")&amp;" delivered, "&amp;COUNTIFS(tblProc[Status],"On order")&amp;" on order"</f>
        <v>8 delivered, 6 on order</v>
      </c>
      <c r="R7" s="45"/>
      <c r="S7" s="46"/>
    </row>
    <row r="8" spans="2:19" ht="10.050000000000001" customHeight="1" x14ac:dyDescent="0.3"/>
    <row r="27" spans="2:18" ht="15.6" x14ac:dyDescent="0.3">
      <c r="B27" s="4" t="s">
        <v>257</v>
      </c>
    </row>
    <row r="28" spans="2:18" x14ac:dyDescent="0.3">
      <c r="B28" s="50" t="s">
        <v>130</v>
      </c>
      <c r="C28" s="54" t="s">
        <v>131</v>
      </c>
      <c r="D28" s="54"/>
      <c r="E28" s="54"/>
      <c r="F28" s="54"/>
      <c r="G28" s="54"/>
      <c r="H28" s="54"/>
      <c r="I28" s="54" t="s">
        <v>140</v>
      </c>
      <c r="J28" s="54"/>
      <c r="K28" s="54"/>
      <c r="L28" s="58" t="s">
        <v>210</v>
      </c>
      <c r="M28" s="58"/>
      <c r="N28" s="58" t="s">
        <v>215</v>
      </c>
      <c r="O28" s="58"/>
      <c r="P28" s="58"/>
      <c r="Q28" s="58" t="s">
        <v>214</v>
      </c>
      <c r="R28" s="58"/>
    </row>
    <row r="29" spans="2:18" x14ac:dyDescent="0.3">
      <c r="B29" s="51">
        <f>IFERROR(INDEX(ActionList,1,1),"")</f>
        <v>2</v>
      </c>
      <c r="C29" s="56" t="str">
        <f>IFERROR(INDEX(ActionList,1,2),"")</f>
        <v>Inverter, Huawei SUN2000-100KTL-M2</v>
      </c>
      <c r="D29" s="56"/>
      <c r="E29" s="56"/>
      <c r="F29" s="56"/>
      <c r="G29" s="56"/>
      <c r="H29" s="56"/>
      <c r="I29" s="56" t="str">
        <f>IFERROR(INDEX(ActionList,1,3),"")</f>
        <v>Electrical installation start</v>
      </c>
      <c r="J29" s="56"/>
      <c r="K29" s="56"/>
      <c r="L29" s="62">
        <f>IFERROR(INDEX(ActionList,1,4),"")</f>
        <v>46279</v>
      </c>
      <c r="M29" s="62"/>
      <c r="N29" s="65" t="str">
        <f>IFERROR(INDEX(ActionList,1,5),"")</f>
        <v>Late delivery</v>
      </c>
      <c r="O29" s="65"/>
      <c r="P29" s="65"/>
      <c r="Q29" s="60">
        <f>IFERROR(INDEX(ActionList,1,6),"")</f>
        <v>-1</v>
      </c>
      <c r="R29" s="60"/>
    </row>
    <row r="30" spans="2:18" x14ac:dyDescent="0.3">
      <c r="B30" s="53">
        <f>IFERROR(INDEX(ActionList,2,1),"")</f>
        <v>3</v>
      </c>
      <c r="C30" s="55" t="str">
        <f>IFERROR(INDEX(ActionList,2,2),"")</f>
        <v>Smart Dongle 4G (monitoring)</v>
      </c>
      <c r="D30" s="55"/>
      <c r="E30" s="55"/>
      <c r="F30" s="55"/>
      <c r="G30" s="55"/>
      <c r="H30" s="55"/>
      <c r="I30" s="55" t="str">
        <f>IFERROR(INDEX(ActionList,2,3),"")</f>
        <v>Electrical installation start</v>
      </c>
      <c r="J30" s="55"/>
      <c r="K30" s="55"/>
      <c r="L30" s="63">
        <f>IFERROR(INDEX(ActionList,2,4),"")</f>
        <v>46279</v>
      </c>
      <c r="M30" s="63"/>
      <c r="N30" s="66" t="str">
        <f>IFERROR(INDEX(ActionList,2,5),"")</f>
        <v>Late delivery</v>
      </c>
      <c r="O30" s="66"/>
      <c r="P30" s="66"/>
      <c r="Q30" s="59">
        <f>IFERROR(INDEX(ActionList,2,6),"")</f>
        <v>-1</v>
      </c>
      <c r="R30" s="59"/>
    </row>
    <row r="31" spans="2:18" x14ac:dyDescent="0.3">
      <c r="B31" s="53">
        <f>IFERROR(INDEX(ActionList,3,1),"")</f>
        <v>14</v>
      </c>
      <c r="C31" s="55" t="str">
        <f>IFERROR(INDEX(ActionList,3,2),"")</f>
        <v>MCCB 4-pole 200 A</v>
      </c>
      <c r="D31" s="55"/>
      <c r="E31" s="55"/>
      <c r="F31" s="55"/>
      <c r="G31" s="55"/>
      <c r="H31" s="55"/>
      <c r="I31" s="55" t="str">
        <f>IFERROR(INDEX(ActionList,3,3),"")</f>
        <v>Electrical installation start</v>
      </c>
      <c r="J31" s="55"/>
      <c r="K31" s="55"/>
      <c r="L31" s="63">
        <f>IFERROR(INDEX(ActionList,3,4),"")</f>
        <v>46284</v>
      </c>
      <c r="M31" s="63"/>
      <c r="N31" s="66" t="str">
        <f>IFERROR(INDEX(ActionList,3,5),"")</f>
        <v>Order overdue</v>
      </c>
      <c r="O31" s="66"/>
      <c r="P31" s="66"/>
      <c r="Q31" s="59">
        <f>IFERROR(INDEX(ActionList,3,6),"")</f>
        <v>-1</v>
      </c>
      <c r="R31" s="59"/>
    </row>
    <row r="32" spans="2:18" x14ac:dyDescent="0.3">
      <c r="B32" s="53">
        <f>IFERROR(INDEX(ActionList,4,1),"")</f>
        <v>9</v>
      </c>
      <c r="C32" s="55" t="str">
        <f>IFERROR(INDEX(ActionList,4,2),"")</f>
        <v>DC solar cable 6 mm2, red</v>
      </c>
      <c r="D32" s="55"/>
      <c r="E32" s="55"/>
      <c r="F32" s="55"/>
      <c r="G32" s="55"/>
      <c r="H32" s="55"/>
      <c r="I32" s="55" t="str">
        <f>IFERROR(INDEX(ActionList,4,3),"")</f>
        <v>Module installation start</v>
      </c>
      <c r="J32" s="55"/>
      <c r="K32" s="55"/>
      <c r="L32" s="63">
        <f>IFERROR(INDEX(ActionList,4,4),"")</f>
        <v>46286</v>
      </c>
      <c r="M32" s="63"/>
      <c r="N32" s="66" t="str">
        <f>IFERROR(INDEX(ActionList,4,5),"")</f>
        <v>Order due</v>
      </c>
      <c r="O32" s="66"/>
      <c r="P32" s="66"/>
      <c r="Q32" s="59">
        <f>IFERROR(INDEX(ActionList,4,6),"")</f>
        <v>0</v>
      </c>
      <c r="R32" s="59"/>
    </row>
    <row r="33" spans="2:18" x14ac:dyDescent="0.3">
      <c r="B33" s="53">
        <f>IFERROR(INDEX(ActionList,5,1),"")</f>
        <v>10</v>
      </c>
      <c r="C33" s="55" t="str">
        <f>IFERROR(INDEX(ActionList,5,2),"")</f>
        <v>DC solar cable 6 mm2, black</v>
      </c>
      <c r="D33" s="55"/>
      <c r="E33" s="55"/>
      <c r="F33" s="55"/>
      <c r="G33" s="55"/>
      <c r="H33" s="55"/>
      <c r="I33" s="55" t="str">
        <f>IFERROR(INDEX(ActionList,5,3),"")</f>
        <v>Module installation start</v>
      </c>
      <c r="J33" s="55"/>
      <c r="K33" s="55"/>
      <c r="L33" s="63">
        <f>IFERROR(INDEX(ActionList,5,4),"")</f>
        <v>46286</v>
      </c>
      <c r="M33" s="63"/>
      <c r="N33" s="66" t="str">
        <f>IFERROR(INDEX(ActionList,5,5),"")</f>
        <v>Order due</v>
      </c>
      <c r="O33" s="66"/>
      <c r="P33" s="66"/>
      <c r="Q33" s="59">
        <f>IFERROR(INDEX(ActionList,5,6),"")</f>
        <v>0</v>
      </c>
      <c r="R33" s="59"/>
    </row>
    <row r="34" spans="2:18" x14ac:dyDescent="0.3">
      <c r="B34" s="53">
        <f>IFERROR(INDEX(ActionList,6,1),"")</f>
        <v>11</v>
      </c>
      <c r="C34" s="55" t="str">
        <f>IFERROR(INDEX(ActionList,6,2),"")</f>
        <v>MC4 connector pair</v>
      </c>
      <c r="D34" s="55"/>
      <c r="E34" s="55"/>
      <c r="F34" s="55"/>
      <c r="G34" s="55"/>
      <c r="H34" s="55"/>
      <c r="I34" s="55" t="str">
        <f>IFERROR(INDEX(ActionList,6,3),"")</f>
        <v>Module installation start</v>
      </c>
      <c r="J34" s="55"/>
      <c r="K34" s="55"/>
      <c r="L34" s="63">
        <f>IFERROR(INDEX(ActionList,6,4),"")</f>
        <v>46286</v>
      </c>
      <c r="M34" s="63"/>
      <c r="N34" s="66" t="str">
        <f>IFERROR(INDEX(ActionList,6,5),"")</f>
        <v>Order due</v>
      </c>
      <c r="O34" s="66"/>
      <c r="P34" s="66"/>
      <c r="Q34" s="59">
        <f>IFERROR(INDEX(ActionList,6,6),"")</f>
        <v>0</v>
      </c>
      <c r="R34" s="59"/>
    </row>
    <row r="35" spans="2:18" x14ac:dyDescent="0.3">
      <c r="B35" s="53">
        <f>IFERROR(INDEX(ActionList,7,1),"")</f>
        <v>12</v>
      </c>
      <c r="C35" s="55" t="str">
        <f>IFERROR(INDEX(ActionList,7,2),"")</f>
        <v>Cable tray, perforated, galvanised</v>
      </c>
      <c r="D35" s="55"/>
      <c r="E35" s="55"/>
      <c r="F35" s="55"/>
      <c r="G35" s="55"/>
      <c r="H35" s="55"/>
      <c r="I35" s="55" t="str">
        <f>IFERROR(INDEX(ActionList,7,3),"")</f>
        <v>Electrical installation start</v>
      </c>
      <c r="J35" s="55"/>
      <c r="K35" s="55"/>
      <c r="L35" s="63">
        <f>IFERROR(INDEX(ActionList,7,4),"")</f>
        <v>46287</v>
      </c>
      <c r="M35" s="63"/>
      <c r="N35" s="66" t="str">
        <f>IFERROR(INDEX(ActionList,7,5),"")</f>
        <v>Order due</v>
      </c>
      <c r="O35" s="66"/>
      <c r="P35" s="66"/>
      <c r="Q35" s="59">
        <f>IFERROR(INDEX(ActionList,7,6),"")</f>
        <v>1</v>
      </c>
      <c r="R35" s="59"/>
    </row>
    <row r="36" spans="2:18" x14ac:dyDescent="0.3">
      <c r="B36" s="52">
        <f>IFERROR(INDEX(ActionList,8,1),"")</f>
        <v>19</v>
      </c>
      <c r="C36" s="57" t="str">
        <f>IFERROR(INDEX(ActionList,8,2),"")</f>
        <v>Electrical installation crew</v>
      </c>
      <c r="D36" s="57"/>
      <c r="E36" s="57"/>
      <c r="F36" s="57"/>
      <c r="G36" s="57"/>
      <c r="H36" s="57"/>
      <c r="I36" s="57" t="str">
        <f>IFERROR(INDEX(ActionList,8,3),"")</f>
        <v>Electrical installation start</v>
      </c>
      <c r="J36" s="57"/>
      <c r="K36" s="57"/>
      <c r="L36" s="64">
        <f>IFERROR(INDEX(ActionList,8,4),"")</f>
        <v>46287</v>
      </c>
      <c r="M36" s="64"/>
      <c r="N36" s="67" t="str">
        <f>IFERROR(INDEX(ActionList,8,5),"")</f>
        <v>Order due</v>
      </c>
      <c r="O36" s="67"/>
      <c r="P36" s="67"/>
      <c r="Q36" s="61">
        <f>IFERROR(INDEX(ActionList,8,6),"")</f>
        <v>1</v>
      </c>
      <c r="R36" s="61"/>
    </row>
  </sheetData>
  <mergeCells count="63">
    <mergeCell ref="Q34:R34"/>
    <mergeCell ref="Q35:R35"/>
    <mergeCell ref="Q36:R36"/>
    <mergeCell ref="Q28:R28"/>
    <mergeCell ref="Q29:R29"/>
    <mergeCell ref="Q30:R30"/>
    <mergeCell ref="Q31:R31"/>
    <mergeCell ref="Q32:R32"/>
    <mergeCell ref="Q33:R33"/>
    <mergeCell ref="L36:M36"/>
    <mergeCell ref="N28:P28"/>
    <mergeCell ref="N29:P29"/>
    <mergeCell ref="N30:P30"/>
    <mergeCell ref="N31:P31"/>
    <mergeCell ref="N32:P32"/>
    <mergeCell ref="N33:P33"/>
    <mergeCell ref="N34:P34"/>
    <mergeCell ref="N35:P35"/>
    <mergeCell ref="N36:P36"/>
    <mergeCell ref="I35:K35"/>
    <mergeCell ref="I36:K36"/>
    <mergeCell ref="L28:M28"/>
    <mergeCell ref="L29:M29"/>
    <mergeCell ref="L30:M30"/>
    <mergeCell ref="L31:M31"/>
    <mergeCell ref="L32:M32"/>
    <mergeCell ref="L33:M33"/>
    <mergeCell ref="L34:M34"/>
    <mergeCell ref="L35:M35"/>
    <mergeCell ref="C34:H34"/>
    <mergeCell ref="C35:H35"/>
    <mergeCell ref="C36:H36"/>
    <mergeCell ref="I28:K28"/>
    <mergeCell ref="I29:K29"/>
    <mergeCell ref="I30:K30"/>
    <mergeCell ref="I31:K31"/>
    <mergeCell ref="I32:K32"/>
    <mergeCell ref="I33:K33"/>
    <mergeCell ref="I34:K34"/>
    <mergeCell ref="C28:H28"/>
    <mergeCell ref="C29:H29"/>
    <mergeCell ref="C30:H30"/>
    <mergeCell ref="C31:H31"/>
    <mergeCell ref="C32:H32"/>
    <mergeCell ref="C33:H33"/>
    <mergeCell ref="N5:P5"/>
    <mergeCell ref="N6:P6"/>
    <mergeCell ref="N7:P7"/>
    <mergeCell ref="Q5:S5"/>
    <mergeCell ref="Q6:S6"/>
    <mergeCell ref="Q7:S7"/>
    <mergeCell ref="H5:J5"/>
    <mergeCell ref="H6:J6"/>
    <mergeCell ref="H7:J7"/>
    <mergeCell ref="K5:M5"/>
    <mergeCell ref="K6:M6"/>
    <mergeCell ref="K7:M7"/>
    <mergeCell ref="B5:D5"/>
    <mergeCell ref="B6:D6"/>
    <mergeCell ref="B7:D7"/>
    <mergeCell ref="E5:G5"/>
    <mergeCell ref="E6:G6"/>
    <mergeCell ref="E7:G7"/>
  </mergeCells>
  <conditionalFormatting sqref="N29:P36">
    <cfRule type="expression" dxfId="23" priority="1">
      <formula>$N29="Order due"</formula>
    </cfRule>
    <cfRule type="expression" dxfId="22" priority="2">
      <formula>OR($N29="Order overdue",$N29="Late delivery")</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3D90C-DACE-44C3-8CE1-A70659C841A3}">
  <dimension ref="B2:M29"/>
  <sheetViews>
    <sheetView showGridLines="0" zoomScale="88" zoomScaleNormal="88" workbookViewId="0">
      <selection activeCell="K6" sqref="K6"/>
    </sheetView>
  </sheetViews>
  <sheetFormatPr defaultRowHeight="14.4" x14ac:dyDescent="0.3"/>
  <cols>
    <col min="1" max="1" width="2.77734375" customWidth="1"/>
    <col min="2" max="2" width="38.77734375" customWidth="1"/>
    <col min="3" max="3" width="21.77734375" customWidth="1"/>
    <col min="4" max="4" width="36.77734375" customWidth="1"/>
    <col min="5" max="5" width="2.77734375" customWidth="1"/>
    <col min="6" max="6" width="28.77734375" customWidth="1"/>
    <col min="7" max="7" width="9.77734375" customWidth="1"/>
    <col min="8" max="8" width="5.77734375" customWidth="1"/>
    <col min="9" max="9" width="2.77734375" customWidth="1"/>
    <col min="10" max="10" width="48.77734375" customWidth="1"/>
    <col min="11" max="12" width="12.77734375" customWidth="1"/>
    <col min="13" max="13" width="9.77734375" customWidth="1"/>
  </cols>
  <sheetData>
    <row r="2" spans="2:12" ht="28.05" customHeight="1" x14ac:dyDescent="0.45">
      <c r="B2" s="1" t="s">
        <v>40</v>
      </c>
    </row>
    <row r="3" spans="2:12" x14ac:dyDescent="0.3">
      <c r="B3" s="2" t="s">
        <v>41</v>
      </c>
    </row>
    <row r="5" spans="2:12" ht="15.6" x14ac:dyDescent="0.3">
      <c r="B5" s="18" t="s">
        <v>42</v>
      </c>
      <c r="C5" s="19"/>
      <c r="D5" s="19"/>
      <c r="F5" s="18" t="s">
        <v>77</v>
      </c>
      <c r="G5" s="19"/>
      <c r="H5" s="19"/>
      <c r="J5" s="18" t="s">
        <v>99</v>
      </c>
      <c r="K5" s="19"/>
      <c r="L5" s="19"/>
    </row>
    <row r="6" spans="2:12" x14ac:dyDescent="0.3">
      <c r="B6" t="s">
        <v>43</v>
      </c>
      <c r="C6" s="7" t="s">
        <v>14</v>
      </c>
      <c r="D6" t="s">
        <v>44</v>
      </c>
      <c r="F6" t="s">
        <v>78</v>
      </c>
      <c r="G6" s="15">
        <f>_xlfn.XLOOKUP(ModuleModel,tblModules[Model],tblModules[Pmax (W)])</f>
        <v>580</v>
      </c>
      <c r="H6" t="s">
        <v>79</v>
      </c>
      <c r="J6" t="s">
        <v>100</v>
      </c>
      <c r="K6" s="11">
        <f>_xlfn.LET(_xlpm.tk,TkVoc/100,Voc*(1+_xlpm.tk*(Tmin-25)))</f>
        <v>56.233249999999998</v>
      </c>
      <c r="L6" t="s">
        <v>81</v>
      </c>
    </row>
    <row r="7" spans="2:12" x14ac:dyDescent="0.3">
      <c r="B7" t="s">
        <v>45</v>
      </c>
      <c r="C7" s="7" t="s">
        <v>28</v>
      </c>
      <c r="D7" t="s">
        <v>46</v>
      </c>
      <c r="F7" t="s">
        <v>80</v>
      </c>
      <c r="G7" s="15">
        <f>_xlfn.XLOOKUP(ModuleModel,tblModules[Model],tblModules[Voc (V)])</f>
        <v>52.31</v>
      </c>
      <c r="H7" t="s">
        <v>81</v>
      </c>
      <c r="J7" t="s">
        <v>101</v>
      </c>
      <c r="K7" s="11">
        <f>Vmp*(1+TkVoc/100*(Tmin-25))</f>
        <v>46.60125</v>
      </c>
      <c r="L7" t="s">
        <v>81</v>
      </c>
    </row>
    <row r="8" spans="2:12" x14ac:dyDescent="0.3">
      <c r="B8" t="s">
        <v>47</v>
      </c>
      <c r="C8" s="7">
        <v>1</v>
      </c>
      <c r="F8" t="s">
        <v>82</v>
      </c>
      <c r="G8" s="15">
        <f>_xlfn.XLOOKUP(ModuleModel,tblModules[Model],tblModules[Vmp (V)])</f>
        <v>43.35</v>
      </c>
      <c r="H8" t="s">
        <v>81</v>
      </c>
      <c r="J8" t="s">
        <v>102</v>
      </c>
      <c r="K8" s="11">
        <f>Vmp*(1+TkVoc/100*(Tmax-25))</f>
        <v>37.931249999999999</v>
      </c>
      <c r="L8" t="s">
        <v>81</v>
      </c>
    </row>
    <row r="9" spans="2:12" x14ac:dyDescent="0.3">
      <c r="B9" t="s">
        <v>48</v>
      </c>
      <c r="C9" s="8">
        <v>1.2</v>
      </c>
      <c r="D9" t="s">
        <v>49</v>
      </c>
      <c r="F9" t="s">
        <v>83</v>
      </c>
      <c r="G9" s="15">
        <f>_xlfn.XLOOKUP(ModuleModel,tblModules[Model],tblModules[Isc (A)])</f>
        <v>14.01</v>
      </c>
      <c r="H9" t="s">
        <v>84</v>
      </c>
      <c r="J9" t="s">
        <v>103</v>
      </c>
      <c r="K9" s="12">
        <f>MIN(ROUNDDOWN(MaxDCV/VocCold,0),ROUNDDOWN(ModMaxV/VocCold,0),ROUNDDOWN(MpptMax/VmpCold,0))</f>
        <v>19</v>
      </c>
    </row>
    <row r="10" spans="2:12" x14ac:dyDescent="0.3">
      <c r="B10" t="s">
        <v>50</v>
      </c>
      <c r="C10" s="7">
        <v>-5</v>
      </c>
      <c r="D10" t="s">
        <v>51</v>
      </c>
      <c r="F10" t="s">
        <v>85</v>
      </c>
      <c r="G10" s="15">
        <f>_xlfn.XLOOKUP(ModuleModel,tblModules[Model],tblModules[Imp (A)])</f>
        <v>13.38</v>
      </c>
      <c r="H10" t="s">
        <v>84</v>
      </c>
      <c r="J10" t="s">
        <v>104</v>
      </c>
      <c r="K10" s="12">
        <f>ROUNDUP(MpptMin/VmpHot,0)</f>
        <v>6</v>
      </c>
    </row>
    <row r="11" spans="2:12" x14ac:dyDescent="0.3">
      <c r="B11" t="s">
        <v>52</v>
      </c>
      <c r="C11" s="7">
        <v>75</v>
      </c>
      <c r="D11" t="s">
        <v>53</v>
      </c>
      <c r="F11" t="s">
        <v>86</v>
      </c>
      <c r="G11" s="15">
        <f>_xlfn.XLOOKUP(ModuleModel,tblModules[Model],tblModules[Tk Voc (%/C)])</f>
        <v>-0.25</v>
      </c>
      <c r="H11" t="s">
        <v>87</v>
      </c>
      <c r="J11" t="s">
        <v>105</v>
      </c>
      <c r="K11" s="12">
        <f>ROUND(Inverters*Pac*TargetRatio/(ModsPerString*Pmax/1000),0)</f>
        <v>11</v>
      </c>
    </row>
    <row r="12" spans="2:12" x14ac:dyDescent="0.3">
      <c r="B12" t="s">
        <v>54</v>
      </c>
      <c r="C12" s="7">
        <v>18</v>
      </c>
      <c r="D12" t="s">
        <v>55</v>
      </c>
      <c r="F12" t="s">
        <v>88</v>
      </c>
      <c r="G12" s="15">
        <f>_xlfn.XLOOKUP(ModuleModel,tblModules[Model],tblModules[Width (m)])</f>
        <v>1.1339999999999999</v>
      </c>
      <c r="H12" t="s">
        <v>59</v>
      </c>
      <c r="J12" t="s">
        <v>106</v>
      </c>
      <c r="K12" s="12">
        <f>Strings*ModsPerString</f>
        <v>198</v>
      </c>
    </row>
    <row r="13" spans="2:12" x14ac:dyDescent="0.3">
      <c r="B13" t="s">
        <v>56</v>
      </c>
      <c r="C13" s="7">
        <v>40</v>
      </c>
      <c r="D13" t="s">
        <v>57</v>
      </c>
      <c r="F13" t="s">
        <v>89</v>
      </c>
      <c r="G13" s="15">
        <f>_xlfn.XLOOKUP(ModuleModel,tblModules[Model],tblModules[Max system V])</f>
        <v>1500</v>
      </c>
      <c r="H13" t="s">
        <v>81</v>
      </c>
      <c r="J13" t="s">
        <v>107</v>
      </c>
      <c r="K13" s="13">
        <f>Modules*Pmax/1000</f>
        <v>114.84</v>
      </c>
      <c r="L13" t="s">
        <v>108</v>
      </c>
    </row>
    <row r="14" spans="2:12" x14ac:dyDescent="0.3">
      <c r="B14" t="s">
        <v>58</v>
      </c>
      <c r="C14" s="7">
        <v>30</v>
      </c>
      <c r="D14" t="s">
        <v>59</v>
      </c>
      <c r="F14" t="s">
        <v>90</v>
      </c>
      <c r="G14" s="15">
        <f>_xlfn.XLOOKUP(InverterModel,tblInverters[Model],tblInverters[Rated AC (kW)])</f>
        <v>100</v>
      </c>
      <c r="H14" t="s">
        <v>91</v>
      </c>
      <c r="J14" t="s">
        <v>109</v>
      </c>
      <c r="K14" s="13">
        <f>DCkWp/(Inverters*Pac)</f>
        <v>1.1484000000000001</v>
      </c>
    </row>
    <row r="15" spans="2:12" x14ac:dyDescent="0.3">
      <c r="B15" t="s">
        <v>60</v>
      </c>
      <c r="C15" s="7">
        <v>60</v>
      </c>
      <c r="D15" t="s">
        <v>59</v>
      </c>
      <c r="F15" t="s">
        <v>92</v>
      </c>
      <c r="G15" s="15">
        <f>_xlfn.XLOOKUP(InverterModel,tblInverters[Model],tblInverters[Max DC V])</f>
        <v>1100</v>
      </c>
      <c r="H15" t="s">
        <v>81</v>
      </c>
      <c r="J15" t="s">
        <v>110</v>
      </c>
      <c r="K15" s="12">
        <f>ROUNDUP(Strings/(Mppts*Inverters),0)</f>
        <v>2</v>
      </c>
    </row>
    <row r="16" spans="2:12" x14ac:dyDescent="0.3">
      <c r="B16" t="s">
        <v>61</v>
      </c>
      <c r="C16" s="7">
        <v>4.2</v>
      </c>
      <c r="D16" t="s">
        <v>62</v>
      </c>
      <c r="F16" t="s">
        <v>93</v>
      </c>
      <c r="G16" s="15">
        <f>_xlfn.XLOOKUP(InverterModel,tblInverters[Model],tblInverters[MPPT min V])</f>
        <v>200</v>
      </c>
      <c r="H16" t="s">
        <v>81</v>
      </c>
      <c r="J16" t="s">
        <v>111</v>
      </c>
      <c r="K16" s="11">
        <f>ModsPerString*(ModW+ModGap)</f>
        <v>20.771999999999998</v>
      </c>
      <c r="L16" t="s">
        <v>59</v>
      </c>
    </row>
    <row r="17" spans="2:13" x14ac:dyDescent="0.3">
      <c r="B17" t="s">
        <v>63</v>
      </c>
      <c r="C17" s="7">
        <v>0.02</v>
      </c>
      <c r="D17" t="s">
        <v>59</v>
      </c>
      <c r="F17" t="s">
        <v>94</v>
      </c>
      <c r="G17" s="15">
        <f>_xlfn.XLOOKUP(InverterModel,tblInverters[Model],tblInverters[MPPT max V])</f>
        <v>1000</v>
      </c>
      <c r="H17" t="s">
        <v>81</v>
      </c>
      <c r="J17" t="s">
        <v>112</v>
      </c>
      <c r="K17" s="12">
        <f>_xlfn.CEILING.MATH(RowLen/RailLen)</f>
        <v>5</v>
      </c>
    </row>
    <row r="18" spans="2:13" x14ac:dyDescent="0.3">
      <c r="B18" t="s">
        <v>64</v>
      </c>
      <c r="C18" s="7">
        <v>1.2</v>
      </c>
      <c r="D18" t="s">
        <v>65</v>
      </c>
      <c r="F18" t="s">
        <v>95</v>
      </c>
      <c r="G18" s="15">
        <f>_xlfn.XLOOKUP(InverterModel,tblInverters[Model],tblInverters[MPPTs])</f>
        <v>10</v>
      </c>
    </row>
    <row r="19" spans="2:13" ht="15.6" x14ac:dyDescent="0.3">
      <c r="B19" t="s">
        <v>66</v>
      </c>
      <c r="C19" s="9">
        <v>0.1</v>
      </c>
      <c r="F19" t="s">
        <v>23</v>
      </c>
      <c r="G19" s="15">
        <f>_xlfn.XLOOKUP(InverterModel,tblInverters[Model],tblInverters[Inputs per MPPT])</f>
        <v>2</v>
      </c>
      <c r="J19" s="4" t="s">
        <v>113</v>
      </c>
    </row>
    <row r="20" spans="2:13" x14ac:dyDescent="0.3">
      <c r="B20" t="s">
        <v>67</v>
      </c>
      <c r="C20" s="7">
        <v>40</v>
      </c>
      <c r="D20" t="s">
        <v>68</v>
      </c>
      <c r="F20" t="s">
        <v>96</v>
      </c>
      <c r="G20" s="15">
        <f>_xlfn.XLOOKUP(InverterModel,tblInverters[Model],tblInverters[Max A per input])</f>
        <v>20</v>
      </c>
      <c r="H20" t="s">
        <v>84</v>
      </c>
      <c r="J20" s="5" t="s">
        <v>114</v>
      </c>
      <c r="K20" s="5" t="s">
        <v>115</v>
      </c>
      <c r="L20" s="5" t="s">
        <v>116</v>
      </c>
      <c r="M20" s="5" t="s">
        <v>117</v>
      </c>
    </row>
    <row r="21" spans="2:13" x14ac:dyDescent="0.3">
      <c r="B21" t="s">
        <v>69</v>
      </c>
      <c r="C21" s="7">
        <v>4</v>
      </c>
      <c r="D21" t="s">
        <v>70</v>
      </c>
      <c r="F21" t="s">
        <v>97</v>
      </c>
      <c r="G21" s="15">
        <f>_xlfn.XLOOKUP(InverterModel,tblInverters[Model],tblInverters[Max A per MPPT])</f>
        <v>30</v>
      </c>
      <c r="H21" t="s">
        <v>84</v>
      </c>
      <c r="J21" t="s">
        <v>118</v>
      </c>
      <c r="K21" s="14">
        <f>ModsPerString*VocCold</f>
        <v>1012.1985</v>
      </c>
      <c r="L21" s="15">
        <f>MIN(MaxDCV,ModMaxV)</f>
        <v>1100</v>
      </c>
      <c r="M21" s="17" t="str">
        <f>IF(K21&lt;=L21,"PASS","FAIL")</f>
        <v>PASS</v>
      </c>
    </row>
    <row r="22" spans="2:13" x14ac:dyDescent="0.3">
      <c r="B22" t="s">
        <v>71</v>
      </c>
      <c r="C22" s="10">
        <v>46272</v>
      </c>
      <c r="D22" t="s">
        <v>72</v>
      </c>
      <c r="F22" t="s">
        <v>98</v>
      </c>
      <c r="G22" s="15">
        <f>_xlfn.XLOOKUP(InverterModel,tblInverters[Model],tblInverters[Max Isc per MPPT])</f>
        <v>40</v>
      </c>
      <c r="H22" t="s">
        <v>84</v>
      </c>
      <c r="J22" t="s">
        <v>119</v>
      </c>
      <c r="K22" s="14">
        <f>ModsPerString*VmpCold</f>
        <v>838.82249999999999</v>
      </c>
      <c r="L22" s="15">
        <f>MpptMax</f>
        <v>1000</v>
      </c>
      <c r="M22" s="17" t="str">
        <f>IF(K22&lt;=L22,"PASS","FAIL")</f>
        <v>PASS</v>
      </c>
    </row>
    <row r="23" spans="2:13" x14ac:dyDescent="0.3">
      <c r="B23" t="s">
        <v>73</v>
      </c>
      <c r="C23" s="10">
        <v>46286</v>
      </c>
      <c r="D23" t="s">
        <v>74</v>
      </c>
      <c r="J23" t="s">
        <v>120</v>
      </c>
      <c r="K23" s="14">
        <f>ModsPerString*VmpHot</f>
        <v>682.76249999999993</v>
      </c>
      <c r="L23" s="15">
        <f>MpptMin</f>
        <v>200</v>
      </c>
      <c r="M23" s="17" t="str">
        <f>IF(K23&gt;=L23,"PASS","FAIL")</f>
        <v>PASS</v>
      </c>
    </row>
    <row r="24" spans="2:13" x14ac:dyDescent="0.3">
      <c r="B24" t="s">
        <v>75</v>
      </c>
      <c r="C24" s="7">
        <v>3</v>
      </c>
      <c r="D24" t="s">
        <v>76</v>
      </c>
      <c r="J24" t="s">
        <v>121</v>
      </c>
      <c r="K24" s="14">
        <f>Imp</f>
        <v>13.38</v>
      </c>
      <c r="L24" s="15">
        <f>MaxIinput</f>
        <v>20</v>
      </c>
      <c r="M24" s="17" t="str">
        <f>IF(K24&lt;=L24,"PASS","FAIL")</f>
        <v>PASS</v>
      </c>
    </row>
    <row r="25" spans="2:13" x14ac:dyDescent="0.3">
      <c r="J25" t="s">
        <v>122</v>
      </c>
      <c r="K25" s="14">
        <f>StringsPerMppt*Imp</f>
        <v>26.76</v>
      </c>
      <c r="L25" s="15">
        <f>MaxImppt</f>
        <v>30</v>
      </c>
      <c r="M25" s="17" t="str">
        <f>IF(K25&lt;=L25,"PASS","FAIL")</f>
        <v>PASS</v>
      </c>
    </row>
    <row r="26" spans="2:13" x14ac:dyDescent="0.3">
      <c r="J26" t="s">
        <v>123</v>
      </c>
      <c r="K26" s="14">
        <f>StringsPerMppt*Isc*1.25</f>
        <v>35.024999999999999</v>
      </c>
      <c r="L26" s="15">
        <f>MaxIscMppt</f>
        <v>40</v>
      </c>
      <c r="M26" s="17" t="str">
        <f>IF(K26&lt;=L26,"PASS","FAIL")</f>
        <v>PASS</v>
      </c>
    </row>
    <row r="27" spans="2:13" x14ac:dyDescent="0.3">
      <c r="J27" t="s">
        <v>124</v>
      </c>
      <c r="K27" s="12">
        <f>Strings</f>
        <v>11</v>
      </c>
      <c r="L27" s="15">
        <f>Mppts*InputsPerMppt*Inverters</f>
        <v>20</v>
      </c>
      <c r="M27" s="17" t="str">
        <f>IF(K27&lt;=L27,"PASS","FAIL")</f>
        <v>PASS</v>
      </c>
    </row>
    <row r="28" spans="2:13" x14ac:dyDescent="0.3">
      <c r="J28" t="s">
        <v>125</v>
      </c>
      <c r="K28" s="12">
        <f>ModsPerString</f>
        <v>18</v>
      </c>
      <c r="L28" s="15" t="str">
        <f>MinMods&amp;" to "&amp;MaxMods</f>
        <v>6 to 19</v>
      </c>
      <c r="M28" s="17" t="str">
        <f>IF(AND(ModsPerString&gt;=MinMods,ModsPerString&lt;=MaxMods),"PASS","FAIL")</f>
        <v>PASS</v>
      </c>
    </row>
    <row r="29" spans="2:13" x14ac:dyDescent="0.3">
      <c r="J29" t="s">
        <v>126</v>
      </c>
      <c r="K29" s="11">
        <f>DCAC</f>
        <v>1.1484000000000001</v>
      </c>
      <c r="L29" s="15" t="s">
        <v>127</v>
      </c>
      <c r="M29" s="17" t="str">
        <f>IF(AND(K29&gt;=1.1,K29&lt;=1.3),"PASS","FAIL")</f>
        <v>PASS</v>
      </c>
    </row>
  </sheetData>
  <conditionalFormatting sqref="M21:M29">
    <cfRule type="expression" dxfId="35" priority="1">
      <formula>$M21="PASS"</formula>
    </cfRule>
    <cfRule type="expression" dxfId="34" priority="2">
      <formula>$M21="FAIL"</formula>
    </cfRule>
  </conditionalFormatting>
  <dataValidations count="2">
    <dataValidation type="list" allowBlank="1" showInputMessage="1" showErrorMessage="1" sqref="C6" xr:uid="{EBDD4190-47CC-4845-9607-13506DA90AAB}">
      <formula1>ModuleList</formula1>
    </dataValidation>
    <dataValidation type="list" allowBlank="1" showInputMessage="1" showErrorMessage="1" sqref="C7" xr:uid="{BBD4DFA1-5F5B-49FC-8B6B-94E37140EA4D}">
      <formula1>InverterList</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5CF25-26DE-4C27-BB3D-AA6D1368D0BE}">
  <dimension ref="B2:L32"/>
  <sheetViews>
    <sheetView showGridLines="0" zoomScale="89" zoomScaleNormal="89" workbookViewId="0">
      <selection activeCell="F9" sqref="F9"/>
    </sheetView>
  </sheetViews>
  <sheetFormatPr defaultRowHeight="14.4" x14ac:dyDescent="0.3"/>
  <cols>
    <col min="1" max="1" width="2.77734375" customWidth="1"/>
    <col min="2" max="2" width="6.77734375" customWidth="1"/>
    <col min="3" max="3" width="46.77734375" customWidth="1"/>
    <col min="4" max="4" width="22.77734375" customWidth="1"/>
    <col min="5" max="5" width="9.77734375" customWidth="1"/>
    <col min="6" max="6" width="8.77734375" customWidth="1"/>
    <col min="7" max="7" width="44.77734375" customWidth="1"/>
    <col min="8" max="8" width="13.77734375" customWidth="1"/>
    <col min="9" max="9" width="14.77734375" customWidth="1"/>
    <col min="10" max="10" width="23.77734375" customWidth="1"/>
    <col min="11" max="11" width="9.77734375" customWidth="1"/>
    <col min="12" max="12" width="27.77734375" customWidth="1"/>
  </cols>
  <sheetData>
    <row r="2" spans="2:12" ht="28.05" customHeight="1" x14ac:dyDescent="0.45">
      <c r="B2" s="1" t="s">
        <v>128</v>
      </c>
    </row>
    <row r="3" spans="2:12" x14ac:dyDescent="0.3">
      <c r="B3" s="2" t="s">
        <v>129</v>
      </c>
    </row>
    <row r="5" spans="2:12" x14ac:dyDescent="0.3">
      <c r="B5" s="5" t="s">
        <v>130</v>
      </c>
      <c r="C5" s="5" t="s">
        <v>131</v>
      </c>
      <c r="D5" s="5" t="s">
        <v>132</v>
      </c>
      <c r="E5" s="5" t="s">
        <v>133</v>
      </c>
      <c r="F5" s="5" t="s">
        <v>134</v>
      </c>
      <c r="G5" s="5" t="s">
        <v>135</v>
      </c>
      <c r="H5" s="5" t="s">
        <v>136</v>
      </c>
      <c r="I5" s="5" t="s">
        <v>137</v>
      </c>
      <c r="J5" s="5" t="s">
        <v>138</v>
      </c>
      <c r="K5" s="5" t="s">
        <v>139</v>
      </c>
      <c r="L5" s="5" t="s">
        <v>140</v>
      </c>
    </row>
    <row r="6" spans="2:12" x14ac:dyDescent="0.3">
      <c r="B6">
        <v>1</v>
      </c>
      <c r="C6" t="s">
        <v>141</v>
      </c>
      <c r="D6" t="s">
        <v>106</v>
      </c>
      <c r="E6" t="s">
        <v>142</v>
      </c>
      <c r="F6" s="20">
        <f>Modules</f>
        <v>198</v>
      </c>
      <c r="G6" t="s">
        <v>143</v>
      </c>
      <c r="H6" s="22">
        <f>27*Pmax</f>
        <v>15660</v>
      </c>
      <c r="I6" s="20">
        <f>tblBOM[[#This Row],[Qty]]*tblBOM[[#This Row],[Unit rate (PKR)]]</f>
        <v>3100680</v>
      </c>
      <c r="J6" t="s">
        <v>144</v>
      </c>
      <c r="K6">
        <v>8</v>
      </c>
      <c r="L6" t="s">
        <v>36</v>
      </c>
    </row>
    <row r="7" spans="2:12" x14ac:dyDescent="0.3">
      <c r="B7">
        <v>2</v>
      </c>
      <c r="C7" t="s">
        <v>145</v>
      </c>
      <c r="D7" t="s">
        <v>146</v>
      </c>
      <c r="E7" t="s">
        <v>142</v>
      </c>
      <c r="F7" s="20">
        <f>Inverters</f>
        <v>1</v>
      </c>
      <c r="G7" t="s">
        <v>47</v>
      </c>
      <c r="H7" s="21">
        <v>1450000</v>
      </c>
      <c r="I7" s="20">
        <f>tblBOM[[#This Row],[Qty]]*tblBOM[[#This Row],[Unit rate (PKR)]]</f>
        <v>1450000</v>
      </c>
      <c r="J7" t="s">
        <v>147</v>
      </c>
      <c r="K7">
        <v>12</v>
      </c>
      <c r="L7" t="s">
        <v>37</v>
      </c>
    </row>
    <row r="8" spans="2:12" x14ac:dyDescent="0.3">
      <c r="B8">
        <v>3</v>
      </c>
      <c r="C8" t="s">
        <v>148</v>
      </c>
      <c r="D8" t="s">
        <v>146</v>
      </c>
      <c r="E8" t="s">
        <v>142</v>
      </c>
      <c r="F8" s="20">
        <f>Inverters</f>
        <v>1</v>
      </c>
      <c r="G8" t="s">
        <v>149</v>
      </c>
      <c r="H8" s="21">
        <v>42000</v>
      </c>
      <c r="I8" s="20">
        <f>tblBOM[[#This Row],[Qty]]*tblBOM[[#This Row],[Unit rate (PKR)]]</f>
        <v>42000</v>
      </c>
      <c r="J8" t="s">
        <v>147</v>
      </c>
      <c r="K8">
        <v>12</v>
      </c>
      <c r="L8" t="s">
        <v>37</v>
      </c>
    </row>
    <row r="9" spans="2:12" x14ac:dyDescent="0.3">
      <c r="B9">
        <v>4</v>
      </c>
      <c r="C9" t="s">
        <v>150</v>
      </c>
      <c r="D9" t="s">
        <v>151</v>
      </c>
      <c r="E9" t="s">
        <v>142</v>
      </c>
      <c r="F9" s="20">
        <f>Strings*2*RailsPerLine</f>
        <v>110</v>
      </c>
      <c r="G9" t="s">
        <v>152</v>
      </c>
      <c r="H9" s="21">
        <v>4800</v>
      </c>
      <c r="I9" s="20">
        <f>tblBOM[[#This Row],[Qty]]*tblBOM[[#This Row],[Unit rate (PKR)]]</f>
        <v>528000</v>
      </c>
      <c r="J9" t="s">
        <v>153</v>
      </c>
      <c r="K9">
        <v>7</v>
      </c>
      <c r="L9" t="s">
        <v>35</v>
      </c>
    </row>
    <row r="10" spans="2:12" x14ac:dyDescent="0.3">
      <c r="B10">
        <v>5</v>
      </c>
      <c r="C10" t="s">
        <v>154</v>
      </c>
      <c r="D10" t="s">
        <v>151</v>
      </c>
      <c r="E10" t="s">
        <v>142</v>
      </c>
      <c r="F10" s="20">
        <f>Strings*2*(RailsPerLine-1)</f>
        <v>88</v>
      </c>
      <c r="G10" t="s">
        <v>155</v>
      </c>
      <c r="H10" s="21">
        <v>350</v>
      </c>
      <c r="I10" s="20">
        <f>tblBOM[[#This Row],[Qty]]*tblBOM[[#This Row],[Unit rate (PKR)]]</f>
        <v>30800</v>
      </c>
      <c r="J10" t="s">
        <v>153</v>
      </c>
      <c r="K10">
        <v>7</v>
      </c>
      <c r="L10" t="s">
        <v>35</v>
      </c>
    </row>
    <row r="11" spans="2:12" x14ac:dyDescent="0.3">
      <c r="B11">
        <v>6</v>
      </c>
      <c r="C11" t="s">
        <v>156</v>
      </c>
      <c r="D11" t="s">
        <v>151</v>
      </c>
      <c r="E11" t="s">
        <v>142</v>
      </c>
      <c r="F11" s="20">
        <f>Strings*2*(ModsPerString-1)</f>
        <v>374</v>
      </c>
      <c r="G11" t="s">
        <v>157</v>
      </c>
      <c r="H11" s="21">
        <v>220</v>
      </c>
      <c r="I11" s="20">
        <f>tblBOM[[#This Row],[Qty]]*tblBOM[[#This Row],[Unit rate (PKR)]]</f>
        <v>82280</v>
      </c>
      <c r="J11" t="s">
        <v>153</v>
      </c>
      <c r="K11">
        <v>7</v>
      </c>
      <c r="L11" t="s">
        <v>35</v>
      </c>
    </row>
    <row r="12" spans="2:12" x14ac:dyDescent="0.3">
      <c r="B12">
        <v>7</v>
      </c>
      <c r="C12" t="s">
        <v>158</v>
      </c>
      <c r="D12" t="s">
        <v>151</v>
      </c>
      <c r="E12" t="s">
        <v>142</v>
      </c>
      <c r="F12" s="20">
        <f>Strings*4</f>
        <v>44</v>
      </c>
      <c r="G12" t="s">
        <v>159</v>
      </c>
      <c r="H12" s="21">
        <v>240</v>
      </c>
      <c r="I12" s="20">
        <f>tblBOM[[#This Row],[Qty]]*tblBOM[[#This Row],[Unit rate (PKR)]]</f>
        <v>10560</v>
      </c>
      <c r="J12" t="s">
        <v>153</v>
      </c>
      <c r="K12">
        <v>7</v>
      </c>
      <c r="L12" t="s">
        <v>35</v>
      </c>
    </row>
    <row r="13" spans="2:12" x14ac:dyDescent="0.3">
      <c r="B13">
        <v>8</v>
      </c>
      <c r="C13" t="s">
        <v>160</v>
      </c>
      <c r="D13" t="s">
        <v>151</v>
      </c>
      <c r="E13" t="s">
        <v>142</v>
      </c>
      <c r="F13" s="20">
        <f>Strings*2*(_xlfn.CEILING.MATH(RowLen/AttachSpacing)+1)</f>
        <v>418</v>
      </c>
      <c r="G13" t="s">
        <v>161</v>
      </c>
      <c r="H13" s="21">
        <v>450</v>
      </c>
      <c r="I13" s="20">
        <f>tblBOM[[#This Row],[Qty]]*tblBOM[[#This Row],[Unit rate (PKR)]]</f>
        <v>188100</v>
      </c>
      <c r="J13" t="s">
        <v>153</v>
      </c>
      <c r="K13">
        <v>7</v>
      </c>
      <c r="L13" t="s">
        <v>35</v>
      </c>
    </row>
    <row r="14" spans="2:12" x14ac:dyDescent="0.3">
      <c r="B14">
        <v>9</v>
      </c>
      <c r="C14" t="s">
        <v>162</v>
      </c>
      <c r="D14" t="s">
        <v>163</v>
      </c>
      <c r="E14" t="s">
        <v>59</v>
      </c>
      <c r="F14" s="20">
        <f>_xlfn.CEILING.MATH(Strings*HomeRun*(1+Waste))</f>
        <v>484</v>
      </c>
      <c r="G14" t="s">
        <v>164</v>
      </c>
      <c r="H14" s="21">
        <v>260</v>
      </c>
      <c r="I14" s="20">
        <f>tblBOM[[#This Row],[Qty]]*tblBOM[[#This Row],[Unit rate (PKR)]]</f>
        <v>125840</v>
      </c>
      <c r="J14" t="s">
        <v>165</v>
      </c>
      <c r="K14">
        <v>4</v>
      </c>
      <c r="L14" t="s">
        <v>36</v>
      </c>
    </row>
    <row r="15" spans="2:12" x14ac:dyDescent="0.3">
      <c r="B15">
        <v>10</v>
      </c>
      <c r="C15" t="s">
        <v>166</v>
      </c>
      <c r="D15" t="s">
        <v>163</v>
      </c>
      <c r="E15" t="s">
        <v>59</v>
      </c>
      <c r="F15" s="20">
        <f>_xlfn.CEILING.MATH(Strings*HomeRun*(1+Waste))</f>
        <v>484</v>
      </c>
      <c r="G15" t="s">
        <v>164</v>
      </c>
      <c r="H15" s="21">
        <v>260</v>
      </c>
      <c r="I15" s="20">
        <f>tblBOM[[#This Row],[Qty]]*tblBOM[[#This Row],[Unit rate (PKR)]]</f>
        <v>125840</v>
      </c>
      <c r="J15" t="s">
        <v>165</v>
      </c>
      <c r="K15">
        <v>4</v>
      </c>
      <c r="L15" t="s">
        <v>36</v>
      </c>
    </row>
    <row r="16" spans="2:12" x14ac:dyDescent="0.3">
      <c r="B16">
        <v>11</v>
      </c>
      <c r="C16" t="s">
        <v>167</v>
      </c>
      <c r="D16" t="s">
        <v>163</v>
      </c>
      <c r="E16" t="s">
        <v>168</v>
      </c>
      <c r="F16" s="20">
        <f>_xlfn.CEILING.MATH(Strings*2*(1+Waste))</f>
        <v>25</v>
      </c>
      <c r="G16" t="s">
        <v>169</v>
      </c>
      <c r="H16" s="21">
        <v>350</v>
      </c>
      <c r="I16" s="20">
        <f>tblBOM[[#This Row],[Qty]]*tblBOM[[#This Row],[Unit rate (PKR)]]</f>
        <v>8750</v>
      </c>
      <c r="J16" t="s">
        <v>165</v>
      </c>
      <c r="K16">
        <v>4</v>
      </c>
      <c r="L16" t="s">
        <v>36</v>
      </c>
    </row>
    <row r="17" spans="2:12" x14ac:dyDescent="0.3">
      <c r="B17">
        <v>12</v>
      </c>
      <c r="C17" t="s">
        <v>170</v>
      </c>
      <c r="D17" t="s">
        <v>163</v>
      </c>
      <c r="E17" t="s">
        <v>59</v>
      </c>
      <c r="F17" s="20">
        <f>TrayLen</f>
        <v>60</v>
      </c>
      <c r="G17" t="s">
        <v>171</v>
      </c>
      <c r="H17" s="21">
        <v>1800</v>
      </c>
      <c r="I17" s="20">
        <f>tblBOM[[#This Row],[Qty]]*tblBOM[[#This Row],[Unit rate (PKR)]]</f>
        <v>108000</v>
      </c>
      <c r="J17" t="s">
        <v>165</v>
      </c>
      <c r="K17">
        <v>5</v>
      </c>
      <c r="L17" t="s">
        <v>37</v>
      </c>
    </row>
    <row r="18" spans="2:12" x14ac:dyDescent="0.3">
      <c r="B18">
        <v>13</v>
      </c>
      <c r="C18" t="s">
        <v>172</v>
      </c>
      <c r="D18" t="s">
        <v>173</v>
      </c>
      <c r="E18" t="s">
        <v>59</v>
      </c>
      <c r="F18" s="20">
        <f>_xlfn.CEILING.MATH(ACLen*(1+Waste))</f>
        <v>33</v>
      </c>
      <c r="G18" t="s">
        <v>174</v>
      </c>
      <c r="H18" s="21">
        <v>8500</v>
      </c>
      <c r="I18" s="20">
        <f>tblBOM[[#This Row],[Qty]]*tblBOM[[#This Row],[Unit rate (PKR)]]</f>
        <v>280500</v>
      </c>
      <c r="J18" t="s">
        <v>165</v>
      </c>
      <c r="K18">
        <v>6</v>
      </c>
      <c r="L18" t="s">
        <v>37</v>
      </c>
    </row>
    <row r="19" spans="2:12" x14ac:dyDescent="0.3">
      <c r="B19">
        <v>14</v>
      </c>
      <c r="C19" t="s">
        <v>175</v>
      </c>
      <c r="D19" t="s">
        <v>173</v>
      </c>
      <c r="E19" t="s">
        <v>142</v>
      </c>
      <c r="F19" s="20">
        <f>Inverters</f>
        <v>1</v>
      </c>
      <c r="G19" t="s">
        <v>176</v>
      </c>
      <c r="H19" s="21">
        <v>85000</v>
      </c>
      <c r="I19" s="20">
        <f>tblBOM[[#This Row],[Qty]]*tblBOM[[#This Row],[Unit rate (PKR)]]</f>
        <v>85000</v>
      </c>
      <c r="J19" t="s">
        <v>165</v>
      </c>
      <c r="K19">
        <v>7</v>
      </c>
      <c r="L19" t="s">
        <v>37</v>
      </c>
    </row>
    <row r="20" spans="2:12" x14ac:dyDescent="0.3">
      <c r="B20">
        <v>15</v>
      </c>
      <c r="C20" t="s">
        <v>177</v>
      </c>
      <c r="D20" t="s">
        <v>173</v>
      </c>
      <c r="E20" t="s">
        <v>142</v>
      </c>
      <c r="F20" s="20">
        <v>1</v>
      </c>
      <c r="G20" t="s">
        <v>178</v>
      </c>
      <c r="H20" s="21">
        <v>28000</v>
      </c>
      <c r="I20" s="20">
        <f>tblBOM[[#This Row],[Qty]]*tblBOM[[#This Row],[Unit rate (PKR)]]</f>
        <v>28000</v>
      </c>
      <c r="J20" t="s">
        <v>165</v>
      </c>
      <c r="K20">
        <v>7</v>
      </c>
      <c r="L20" t="s">
        <v>37</v>
      </c>
    </row>
    <row r="21" spans="2:12" x14ac:dyDescent="0.3">
      <c r="B21">
        <v>16</v>
      </c>
      <c r="C21" t="s">
        <v>179</v>
      </c>
      <c r="D21" t="s">
        <v>180</v>
      </c>
      <c r="E21" t="s">
        <v>142</v>
      </c>
      <c r="F21" s="20">
        <v>2</v>
      </c>
      <c r="G21" t="s">
        <v>181</v>
      </c>
      <c r="H21" s="21">
        <v>25000</v>
      </c>
      <c r="I21" s="20">
        <f>tblBOM[[#This Row],[Qty]]*tblBOM[[#This Row],[Unit rate (PKR)]]</f>
        <v>50000</v>
      </c>
      <c r="J21" t="s">
        <v>165</v>
      </c>
      <c r="K21">
        <v>3</v>
      </c>
      <c r="L21" t="s">
        <v>35</v>
      </c>
    </row>
    <row r="22" spans="2:12" x14ac:dyDescent="0.3">
      <c r="B22">
        <v>17</v>
      </c>
      <c r="C22" t="s">
        <v>182</v>
      </c>
      <c r="D22" t="s">
        <v>180</v>
      </c>
      <c r="E22" t="s">
        <v>59</v>
      </c>
      <c r="F22" s="20">
        <v>60</v>
      </c>
      <c r="G22" t="s">
        <v>183</v>
      </c>
      <c r="H22" s="21">
        <v>900</v>
      </c>
      <c r="I22" s="20">
        <f>tblBOM[[#This Row],[Qty]]*tblBOM[[#This Row],[Unit rate (PKR)]]</f>
        <v>54000</v>
      </c>
      <c r="J22" t="s">
        <v>165</v>
      </c>
      <c r="K22">
        <v>3</v>
      </c>
      <c r="L22" t="s">
        <v>35</v>
      </c>
    </row>
    <row r="23" spans="2:12" x14ac:dyDescent="0.3">
      <c r="B23">
        <v>18</v>
      </c>
      <c r="C23" t="s">
        <v>184</v>
      </c>
      <c r="D23" t="s">
        <v>185</v>
      </c>
      <c r="E23" t="s">
        <v>186</v>
      </c>
      <c r="F23" s="20">
        <f>_xlfn.CEILING.MATH(Modules/ModsPerCrewDay)</f>
        <v>5</v>
      </c>
      <c r="G23" t="s">
        <v>187</v>
      </c>
      <c r="H23" s="21">
        <v>30000</v>
      </c>
      <c r="I23" s="20">
        <f>tblBOM[[#This Row],[Qty]]*tblBOM[[#This Row],[Unit rate (PKR)]]</f>
        <v>150000</v>
      </c>
      <c r="J23" t="s">
        <v>188</v>
      </c>
      <c r="K23">
        <v>5</v>
      </c>
      <c r="L23" t="s">
        <v>35</v>
      </c>
    </row>
    <row r="24" spans="2:12" x14ac:dyDescent="0.3">
      <c r="B24">
        <v>19</v>
      </c>
      <c r="C24" t="s">
        <v>189</v>
      </c>
      <c r="D24" t="s">
        <v>185</v>
      </c>
      <c r="E24" t="s">
        <v>186</v>
      </c>
      <c r="F24" s="20">
        <f>ElecCrewDays</f>
        <v>4</v>
      </c>
      <c r="G24" t="s">
        <v>190</v>
      </c>
      <c r="H24" s="21">
        <v>35000</v>
      </c>
      <c r="I24" s="20">
        <f>tblBOM[[#This Row],[Qty]]*tblBOM[[#This Row],[Unit rate (PKR)]]</f>
        <v>140000</v>
      </c>
      <c r="J24" t="s">
        <v>188</v>
      </c>
      <c r="K24">
        <v>5</v>
      </c>
      <c r="L24" t="s">
        <v>37</v>
      </c>
    </row>
    <row r="25" spans="2:12" x14ac:dyDescent="0.3">
      <c r="B25">
        <v>20</v>
      </c>
      <c r="C25" t="s">
        <v>191</v>
      </c>
      <c r="D25" t="s">
        <v>185</v>
      </c>
      <c r="E25" t="s">
        <v>192</v>
      </c>
      <c r="F25" s="20">
        <v>1</v>
      </c>
      <c r="G25" t="s">
        <v>193</v>
      </c>
      <c r="H25" s="21">
        <v>150000</v>
      </c>
      <c r="I25" s="20">
        <f>tblBOM[[#This Row],[Qty]]*tblBOM[[#This Row],[Unit rate (PKR)]]</f>
        <v>150000</v>
      </c>
      <c r="J25" t="s">
        <v>194</v>
      </c>
      <c r="K25">
        <v>3</v>
      </c>
      <c r="L25" t="s">
        <v>34</v>
      </c>
    </row>
    <row r="26" spans="2:12" x14ac:dyDescent="0.3">
      <c r="B26">
        <v>21</v>
      </c>
      <c r="C26" t="s">
        <v>195</v>
      </c>
      <c r="D26" t="s">
        <v>185</v>
      </c>
      <c r="E26" t="s">
        <v>192</v>
      </c>
      <c r="F26" s="20">
        <v>1</v>
      </c>
      <c r="G26" t="s">
        <v>196</v>
      </c>
      <c r="H26" s="21">
        <v>80000</v>
      </c>
      <c r="I26" s="20">
        <f>tblBOM[[#This Row],[Qty]]*tblBOM[[#This Row],[Unit rate (PKR)]]</f>
        <v>80000</v>
      </c>
      <c r="J26" t="s">
        <v>197</v>
      </c>
      <c r="K26">
        <v>5</v>
      </c>
      <c r="L26" t="s">
        <v>34</v>
      </c>
    </row>
    <row r="27" spans="2:12" x14ac:dyDescent="0.3">
      <c r="B27">
        <v>22</v>
      </c>
      <c r="C27" t="s">
        <v>38</v>
      </c>
      <c r="D27" t="s">
        <v>185</v>
      </c>
      <c r="E27" t="s">
        <v>192</v>
      </c>
      <c r="F27" s="20">
        <v>1</v>
      </c>
      <c r="G27" t="s">
        <v>198</v>
      </c>
      <c r="H27" s="21">
        <v>120000</v>
      </c>
      <c r="I27" s="20">
        <f>tblBOM[[#This Row],[Qty]]*tblBOM[[#This Row],[Unit rate (PKR)]]</f>
        <v>120000</v>
      </c>
      <c r="J27" t="s">
        <v>197</v>
      </c>
      <c r="K27">
        <v>5</v>
      </c>
      <c r="L27" t="s">
        <v>38</v>
      </c>
    </row>
    <row r="28" spans="2:12" x14ac:dyDescent="0.3">
      <c r="B28">
        <v>23</v>
      </c>
      <c r="C28" t="s">
        <v>199</v>
      </c>
      <c r="D28" t="s">
        <v>200</v>
      </c>
      <c r="E28" t="s">
        <v>192</v>
      </c>
      <c r="F28" s="20">
        <v>1</v>
      </c>
      <c r="G28" t="s">
        <v>201</v>
      </c>
      <c r="H28" s="21">
        <v>200000</v>
      </c>
      <c r="I28" s="20">
        <f>tblBOM[[#This Row],[Qty]]*tblBOM[[#This Row],[Unit rate (PKR)]]</f>
        <v>200000</v>
      </c>
      <c r="J28" t="s">
        <v>202</v>
      </c>
      <c r="K28">
        <v>35</v>
      </c>
      <c r="L28" t="s">
        <v>39</v>
      </c>
    </row>
    <row r="29" spans="2:12" x14ac:dyDescent="0.3">
      <c r="B29" s="22"/>
      <c r="C29" s="22" t="s">
        <v>204</v>
      </c>
      <c r="D29" s="22"/>
      <c r="E29" s="22"/>
      <c r="F29" s="22"/>
      <c r="G29" s="22"/>
      <c r="H29" s="22"/>
      <c r="I29" s="22">
        <f>SUBTOTAL(109,tblBOM[Budget (PKR)])</f>
        <v>7138350</v>
      </c>
      <c r="J29" s="22"/>
      <c r="K29" s="22"/>
      <c r="L29" s="22"/>
    </row>
    <row r="31" spans="2:12" x14ac:dyDescent="0.3">
      <c r="C31" s="3" t="s">
        <v>205</v>
      </c>
      <c r="D31" s="23">
        <f>SUM(tblBOM[Budget (PKR)])/(DCkWp*1000)</f>
        <v>62.159090909090907</v>
      </c>
    </row>
    <row r="32" spans="2:12" x14ac:dyDescent="0.3">
      <c r="C32" t="s">
        <v>206</v>
      </c>
      <c r="D32" s="24">
        <f>DCkWp</f>
        <v>114.84</v>
      </c>
    </row>
  </sheetData>
  <dataValidations count="2">
    <dataValidation type="list" allowBlank="1" showInputMessage="1" showErrorMessage="1" sqref="D6:D28" xr:uid="{54920C3E-3EA1-4E4D-9302-4CE9B5B646E8}">
      <formula1>"Modules,Inverter and monitoring,Mounting,DC electrical,AC electrical,Earthing,Labour and services,Approvals"</formula1>
    </dataValidation>
    <dataValidation type="list" allowBlank="1" showInputMessage="1" showErrorMessage="1" sqref="L6:L28" xr:uid="{A6CF6B5B-F3E4-413A-8BCB-4265B6B52D53}">
      <formula1>MilestoneList</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9F37E-C265-449A-B855-4A79094B401D}">
  <dimension ref="B2:O28"/>
  <sheetViews>
    <sheetView showGridLines="0" zoomScale="83" zoomScaleNormal="83" workbookViewId="0">
      <selection activeCell="L7" sqref="L7"/>
    </sheetView>
  </sheetViews>
  <sheetFormatPr defaultRowHeight="14.4" x14ac:dyDescent="0.3"/>
  <cols>
    <col min="1" max="1" width="2.77734375" customWidth="1"/>
    <col min="2" max="2" width="6.77734375" customWidth="1"/>
    <col min="3" max="3" width="46.77734375" customWidth="1"/>
    <col min="4" max="4" width="27.77734375" customWidth="1"/>
    <col min="5" max="5" width="14.77734375" customWidth="1"/>
    <col min="6" max="6" width="7.77734375" customWidth="1"/>
    <col min="7" max="10" width="14.77734375" customWidth="1"/>
    <col min="11" max="11" width="8.77734375" customWidth="1"/>
    <col min="12" max="12" width="15.77734375" customWidth="1"/>
    <col min="13" max="13" width="2.77734375" customWidth="1"/>
    <col min="14" max="14" width="15.77734375" customWidth="1"/>
    <col min="15" max="15" width="40.77734375" customWidth="1"/>
  </cols>
  <sheetData>
    <row r="2" spans="2:15" ht="28.05" customHeight="1" x14ac:dyDescent="0.45">
      <c r="B2" s="1" t="s">
        <v>207</v>
      </c>
    </row>
    <row r="3" spans="2:15" x14ac:dyDescent="0.3">
      <c r="B3" s="2" t="s">
        <v>208</v>
      </c>
    </row>
    <row r="5" spans="2:15" ht="28.8" x14ac:dyDescent="0.3">
      <c r="B5" s="5" t="s">
        <v>130</v>
      </c>
      <c r="C5" s="5" t="s">
        <v>131</v>
      </c>
      <c r="D5" s="5" t="s">
        <v>140</v>
      </c>
      <c r="E5" s="5" t="s">
        <v>209</v>
      </c>
      <c r="F5" s="5" t="s">
        <v>139</v>
      </c>
      <c r="G5" s="5" t="s">
        <v>210</v>
      </c>
      <c r="H5" s="5" t="s">
        <v>211</v>
      </c>
      <c r="I5" s="5" t="s">
        <v>212</v>
      </c>
      <c r="J5" s="5" t="s">
        <v>213</v>
      </c>
      <c r="K5" s="5" t="s">
        <v>214</v>
      </c>
      <c r="L5" s="5" t="s">
        <v>215</v>
      </c>
      <c r="N5" s="3" t="s">
        <v>216</v>
      </c>
    </row>
    <row r="6" spans="2:15" x14ac:dyDescent="0.3">
      <c r="B6">
        <v>1</v>
      </c>
      <c r="C6" t="str">
        <f>_xlfn.XLOOKUP(tblProc[[#This Row],[Line]],tblBOM[Line],tblBOM[Item])</f>
        <v>PV module, Jinko JKM580N-72HL4-V 580 W</v>
      </c>
      <c r="D6" t="str">
        <f>_xlfn.XLOOKUP(tblProc[[#This Row],[Line]],tblBOM[Line],tblBOM[Needed for])</f>
        <v>Module installation start</v>
      </c>
      <c r="E6" s="25">
        <f>_xlfn.XLOOKUP(tblProc[[#This Row],[Needed for]],tblMilestones[Milestone],tblMilestones[Date])</f>
        <v>46294</v>
      </c>
      <c r="F6">
        <f>_xlfn.XLOOKUP(tblProc[[#This Row],[Line]],tblBOM[Line],tblBOM[Lead (wd)])</f>
        <v>8</v>
      </c>
      <c r="G6" s="25">
        <f>WORKDAY.INTL(tblProc[[#This Row],[Required on site]],-(tblProc[[#This Row],[Lead (wd)]]+Buffer),"0000001")</f>
        <v>46281</v>
      </c>
      <c r="H6" s="26">
        <v>46280</v>
      </c>
      <c r="I6" s="25">
        <f>IF(tblProc[[#This Row],[PO date]]="","",WORKDAY.INTL(tblProc[[#This Row],[PO date]],tblProc[[#This Row],[Lead (wd)]],"0000001"))</f>
        <v>46289</v>
      </c>
      <c r="J6" s="26"/>
      <c r="K6" s="16" cm="1">
        <f t="array" ref="K6">_xlfn.LET(_xlpm.ros,tblProc[[#This Row],[Required on site]],_xlpm.arrive,IF(tblProc[[#This Row],[Delivered]]&lt;&gt;"",tblProc[[#This Row],[Delivered]],tblProc[[#This Row],[Expected delivery]]),IF(tblProc[[#This Row],[PO date]]="",WorkdaysBetween(StatusDate,tblProc[[#This Row],[Order by]]),WorkdaysBetween(_xlpm.arrive,_xlpm.ros)))</f>
        <v>4</v>
      </c>
      <c r="L6" s="17" t="str" cm="1">
        <f t="array" ref="L6">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On order</v>
      </c>
      <c r="N6" s="17" t="s">
        <v>213</v>
      </c>
      <c r="O6" t="s">
        <v>217</v>
      </c>
    </row>
    <row r="7" spans="2:15" x14ac:dyDescent="0.3">
      <c r="B7">
        <v>2</v>
      </c>
      <c r="C7" t="str">
        <f>_xlfn.XLOOKUP(tblProc[[#This Row],[Line]],tblBOM[Line],tblBOM[Item])</f>
        <v>Inverter, Huawei SUN2000-100KTL-M2</v>
      </c>
      <c r="D7" t="str">
        <f>_xlfn.XLOOKUP(tblProc[[#This Row],[Line]],tblBOM[Line],tblBOM[Needed for])</f>
        <v>Electrical installation start</v>
      </c>
      <c r="E7" s="25">
        <f>_xlfn.XLOOKUP(tblProc[[#This Row],[Needed for]],tblMilestones[Milestone],tblMilestones[Date])</f>
        <v>46296</v>
      </c>
      <c r="F7">
        <f>_xlfn.XLOOKUP(tblProc[[#This Row],[Line]],tblBOM[Line],tblBOM[Lead (wd)])</f>
        <v>12</v>
      </c>
      <c r="G7" s="25">
        <f>WORKDAY.INTL(tblProc[[#This Row],[Required on site]],-(tblProc[[#This Row],[Lead (wd)]]+Buffer),"0000001")</f>
        <v>46279</v>
      </c>
      <c r="H7" s="26">
        <v>46283</v>
      </c>
      <c r="I7" s="25">
        <f>IF(tblProc[[#This Row],[PO date]]="","",WORKDAY.INTL(tblProc[[#This Row],[PO date]],tblProc[[#This Row],[Lead (wd)]],"0000001"))</f>
        <v>46297</v>
      </c>
      <c r="J7" s="26"/>
      <c r="K7" s="16" cm="1">
        <f t="array" ref="K7">_xlfn.LET(_xlpm.ros,tblProc[[#This Row],[Required on site]],_xlpm.arrive,IF(tblProc[[#This Row],[Delivered]]&lt;&gt;"",tblProc[[#This Row],[Delivered]],tblProc[[#This Row],[Expected delivery]]),IF(tblProc[[#This Row],[PO date]]="",WorkdaysBetween(StatusDate,tblProc[[#This Row],[Order by]]),WorkdaysBetween(_xlpm.arrive,_xlpm.ros)))</f>
        <v>-1</v>
      </c>
      <c r="L7" s="17" t="str" cm="1">
        <f t="array" ref="L7">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Late delivery</v>
      </c>
      <c r="N7" s="17" t="s">
        <v>218</v>
      </c>
      <c r="O7" t="s">
        <v>219</v>
      </c>
    </row>
    <row r="8" spans="2:15" x14ac:dyDescent="0.3">
      <c r="B8">
        <v>3</v>
      </c>
      <c r="C8" t="str">
        <f>_xlfn.XLOOKUP(tblProc[[#This Row],[Line]],tblBOM[Line],tblBOM[Item])</f>
        <v>Smart Dongle 4G (monitoring)</v>
      </c>
      <c r="D8" t="str">
        <f>_xlfn.XLOOKUP(tblProc[[#This Row],[Line]],tblBOM[Line],tblBOM[Needed for])</f>
        <v>Electrical installation start</v>
      </c>
      <c r="E8" s="25">
        <f>_xlfn.XLOOKUP(tblProc[[#This Row],[Needed for]],tblMilestones[Milestone],tblMilestones[Date])</f>
        <v>46296</v>
      </c>
      <c r="F8">
        <f>_xlfn.XLOOKUP(tblProc[[#This Row],[Line]],tblBOM[Line],tblBOM[Lead (wd)])</f>
        <v>12</v>
      </c>
      <c r="G8" s="25">
        <f>WORKDAY.INTL(tblProc[[#This Row],[Required on site]],-(tblProc[[#This Row],[Lead (wd)]]+Buffer),"0000001")</f>
        <v>46279</v>
      </c>
      <c r="H8" s="26">
        <v>46283</v>
      </c>
      <c r="I8" s="25">
        <f>IF(tblProc[[#This Row],[PO date]]="","",WORKDAY.INTL(tblProc[[#This Row],[PO date]],tblProc[[#This Row],[Lead (wd)]],"0000001"))</f>
        <v>46297</v>
      </c>
      <c r="J8" s="26"/>
      <c r="K8" s="16" cm="1">
        <f t="array" ref="K8">_xlfn.LET(_xlpm.ros,tblProc[[#This Row],[Required on site]],_xlpm.arrive,IF(tblProc[[#This Row],[Delivered]]&lt;&gt;"",tblProc[[#This Row],[Delivered]],tblProc[[#This Row],[Expected delivery]]),IF(tblProc[[#This Row],[PO date]]="",WorkdaysBetween(StatusDate,tblProc[[#This Row],[Order by]]),WorkdaysBetween(_xlpm.arrive,_xlpm.ros)))</f>
        <v>-1</v>
      </c>
      <c r="L8" s="17" t="str" cm="1">
        <f t="array" ref="L8">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Late delivery</v>
      </c>
      <c r="N8" s="17" t="s">
        <v>220</v>
      </c>
      <c r="O8" t="s">
        <v>221</v>
      </c>
    </row>
    <row r="9" spans="2:15" x14ac:dyDescent="0.3">
      <c r="B9">
        <v>4</v>
      </c>
      <c r="C9" t="str">
        <f>_xlfn.XLOOKUP(tblProc[[#This Row],[Line]],tblBOM[Line],tblBOM[Item])</f>
        <v>Aluminium mounting rail, 4.2 m</v>
      </c>
      <c r="D9" t="str">
        <f>_xlfn.XLOOKUP(tblProc[[#This Row],[Line]],tblBOM[Line],tblBOM[Needed for])</f>
        <v>Mounting installation start</v>
      </c>
      <c r="E9" s="25">
        <f>_xlfn.XLOOKUP(tblProc[[#This Row],[Needed for]],tblMilestones[Milestone],tblMilestones[Date])</f>
        <v>46289</v>
      </c>
      <c r="F9">
        <f>_xlfn.XLOOKUP(tblProc[[#This Row],[Line]],tblBOM[Line],tblBOM[Lead (wd)])</f>
        <v>7</v>
      </c>
      <c r="G9" s="25">
        <f>WORKDAY.INTL(tblProc[[#This Row],[Required on site]],-(tblProc[[#This Row],[Lead (wd)]]+Buffer),"0000001")</f>
        <v>46277</v>
      </c>
      <c r="H9" s="26">
        <v>46276</v>
      </c>
      <c r="I9" s="25">
        <f>IF(tblProc[[#This Row],[PO date]]="","",WORKDAY.INTL(tblProc[[#This Row],[PO date]],tblProc[[#This Row],[Lead (wd)]],"0000001"))</f>
        <v>46284</v>
      </c>
      <c r="J9" s="26">
        <v>46284</v>
      </c>
      <c r="K9" s="16" cm="1">
        <f t="array" ref="K9">_xlfn.LET(_xlpm.ros,tblProc[[#This Row],[Required on site]],_xlpm.arrive,IF(tblProc[[#This Row],[Delivered]]&lt;&gt;"",tblProc[[#This Row],[Delivered]],tblProc[[#This Row],[Expected delivery]]),IF(tblProc[[#This Row],[PO date]]="",WorkdaysBetween(StatusDate,tblProc[[#This Row],[Order by]]),WorkdaysBetween(_xlpm.arrive,_xlpm.ros)))</f>
        <v>4</v>
      </c>
      <c r="L9" s="17" t="str" cm="1">
        <f t="array" ref="L9">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Delivered</v>
      </c>
      <c r="N9" s="17" t="s">
        <v>222</v>
      </c>
      <c r="O9" t="s">
        <v>223</v>
      </c>
    </row>
    <row r="10" spans="2:15" x14ac:dyDescent="0.3">
      <c r="B10">
        <v>5</v>
      </c>
      <c r="C10" t="str">
        <f>_xlfn.XLOOKUP(tblProc[[#This Row],[Line]],tblBOM[Line],tblBOM[Item])</f>
        <v>Rail splice</v>
      </c>
      <c r="D10" t="str">
        <f>_xlfn.XLOOKUP(tblProc[[#This Row],[Line]],tblBOM[Line],tblBOM[Needed for])</f>
        <v>Mounting installation start</v>
      </c>
      <c r="E10" s="25">
        <f>_xlfn.XLOOKUP(tblProc[[#This Row],[Needed for]],tblMilestones[Milestone],tblMilestones[Date])</f>
        <v>46289</v>
      </c>
      <c r="F10">
        <f>_xlfn.XLOOKUP(tblProc[[#This Row],[Line]],tblBOM[Line],tblBOM[Lead (wd)])</f>
        <v>7</v>
      </c>
      <c r="G10" s="25">
        <f>WORKDAY.INTL(tblProc[[#This Row],[Required on site]],-(tblProc[[#This Row],[Lead (wd)]]+Buffer),"0000001")</f>
        <v>46277</v>
      </c>
      <c r="H10" s="26">
        <v>46276</v>
      </c>
      <c r="I10" s="25">
        <f>IF(tblProc[[#This Row],[PO date]]="","",WORKDAY.INTL(tblProc[[#This Row],[PO date]],tblProc[[#This Row],[Lead (wd)]],"0000001"))</f>
        <v>46284</v>
      </c>
      <c r="J10" s="26">
        <v>46284</v>
      </c>
      <c r="K10" s="16" cm="1">
        <f t="array" ref="K10">_xlfn.LET(_xlpm.ros,tblProc[[#This Row],[Required on site]],_xlpm.arrive,IF(tblProc[[#This Row],[Delivered]]&lt;&gt;"",tblProc[[#This Row],[Delivered]],tblProc[[#This Row],[Expected delivery]]),IF(tblProc[[#This Row],[PO date]]="",WorkdaysBetween(StatusDate,tblProc[[#This Row],[Order by]]),WorkdaysBetween(_xlpm.arrive,_xlpm.ros)))</f>
        <v>4</v>
      </c>
      <c r="L10" s="17" t="str" cm="1">
        <f t="array" ref="L10">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Delivered</v>
      </c>
      <c r="N10" s="17" t="s">
        <v>224</v>
      </c>
      <c r="O10" t="s">
        <v>225</v>
      </c>
    </row>
    <row r="11" spans="2:15" x14ac:dyDescent="0.3">
      <c r="B11">
        <v>6</v>
      </c>
      <c r="C11" t="str">
        <f>_xlfn.XLOOKUP(tblProc[[#This Row],[Line]],tblBOM[Line],tblBOM[Item])</f>
        <v>Mid clamp</v>
      </c>
      <c r="D11" t="str">
        <f>_xlfn.XLOOKUP(tblProc[[#This Row],[Line]],tblBOM[Line],tblBOM[Needed for])</f>
        <v>Mounting installation start</v>
      </c>
      <c r="E11" s="25">
        <f>_xlfn.XLOOKUP(tblProc[[#This Row],[Needed for]],tblMilestones[Milestone],tblMilestones[Date])</f>
        <v>46289</v>
      </c>
      <c r="F11">
        <f>_xlfn.XLOOKUP(tblProc[[#This Row],[Line]],tblBOM[Line],tblBOM[Lead (wd)])</f>
        <v>7</v>
      </c>
      <c r="G11" s="25">
        <f>WORKDAY.INTL(tblProc[[#This Row],[Required on site]],-(tblProc[[#This Row],[Lead (wd)]]+Buffer),"0000001")</f>
        <v>46277</v>
      </c>
      <c r="H11" s="26">
        <v>46276</v>
      </c>
      <c r="I11" s="25">
        <f>IF(tblProc[[#This Row],[PO date]]="","",WORKDAY.INTL(tblProc[[#This Row],[PO date]],tblProc[[#This Row],[Lead (wd)]],"0000001"))</f>
        <v>46284</v>
      </c>
      <c r="J11" s="26">
        <v>46284</v>
      </c>
      <c r="K11" s="16" cm="1">
        <f t="array" ref="K11">_xlfn.LET(_xlpm.ros,tblProc[[#This Row],[Required on site]],_xlpm.arrive,IF(tblProc[[#This Row],[Delivered]]&lt;&gt;"",tblProc[[#This Row],[Delivered]],tblProc[[#This Row],[Expected delivery]]),IF(tblProc[[#This Row],[PO date]]="",WorkdaysBetween(StatusDate,tblProc[[#This Row],[Order by]]),WorkdaysBetween(_xlpm.arrive,_xlpm.ros)))</f>
        <v>4</v>
      </c>
      <c r="L11" s="17" t="str" cm="1">
        <f t="array" ref="L11">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Delivered</v>
      </c>
      <c r="N11" s="17" t="s">
        <v>226</v>
      </c>
      <c r="O11" t="s">
        <v>227</v>
      </c>
    </row>
    <row r="12" spans="2:15" x14ac:dyDescent="0.3">
      <c r="B12">
        <v>7</v>
      </c>
      <c r="C12" t="str">
        <f>_xlfn.XLOOKUP(tblProc[[#This Row],[Line]],tblBOM[Line],tblBOM[Item])</f>
        <v>End clamp</v>
      </c>
      <c r="D12" t="str">
        <f>_xlfn.XLOOKUP(tblProc[[#This Row],[Line]],tblBOM[Line],tblBOM[Needed for])</f>
        <v>Mounting installation start</v>
      </c>
      <c r="E12" s="25">
        <f>_xlfn.XLOOKUP(tblProc[[#This Row],[Needed for]],tblMilestones[Milestone],tblMilestones[Date])</f>
        <v>46289</v>
      </c>
      <c r="F12">
        <f>_xlfn.XLOOKUP(tblProc[[#This Row],[Line]],tblBOM[Line],tblBOM[Lead (wd)])</f>
        <v>7</v>
      </c>
      <c r="G12" s="25">
        <f>WORKDAY.INTL(tblProc[[#This Row],[Required on site]],-(tblProc[[#This Row],[Lead (wd)]]+Buffer),"0000001")</f>
        <v>46277</v>
      </c>
      <c r="H12" s="26">
        <v>46276</v>
      </c>
      <c r="I12" s="25">
        <f>IF(tblProc[[#This Row],[PO date]]="","",WORKDAY.INTL(tblProc[[#This Row],[PO date]],tblProc[[#This Row],[Lead (wd)]],"0000001"))</f>
        <v>46284</v>
      </c>
      <c r="J12" s="26">
        <v>46284</v>
      </c>
      <c r="K12" s="16" cm="1">
        <f t="array" ref="K12">_xlfn.LET(_xlpm.ros,tblProc[[#This Row],[Required on site]],_xlpm.arrive,IF(tblProc[[#This Row],[Delivered]]&lt;&gt;"",tblProc[[#This Row],[Delivered]],tblProc[[#This Row],[Expected delivery]]),IF(tblProc[[#This Row],[PO date]]="",WorkdaysBetween(StatusDate,tblProc[[#This Row],[Order by]]),WorkdaysBetween(_xlpm.arrive,_xlpm.ros)))</f>
        <v>4</v>
      </c>
      <c r="L12" s="17" t="str" cm="1">
        <f t="array" ref="L12">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Delivered</v>
      </c>
    </row>
    <row r="13" spans="2:15" x14ac:dyDescent="0.3">
      <c r="B13">
        <v>8</v>
      </c>
      <c r="C13" t="str">
        <f>_xlfn.XLOOKUP(tblProc[[#This Row],[Line]],tblBOM[Line],tblBOM[Item])</f>
        <v>Roof attachment (L-foot with fixings)</v>
      </c>
      <c r="D13" t="str">
        <f>_xlfn.XLOOKUP(tblProc[[#This Row],[Line]],tblBOM[Line],tblBOM[Needed for])</f>
        <v>Mounting installation start</v>
      </c>
      <c r="E13" s="25">
        <f>_xlfn.XLOOKUP(tblProc[[#This Row],[Needed for]],tblMilestones[Milestone],tblMilestones[Date])</f>
        <v>46289</v>
      </c>
      <c r="F13">
        <f>_xlfn.XLOOKUP(tblProc[[#This Row],[Line]],tblBOM[Line],tblBOM[Lead (wd)])</f>
        <v>7</v>
      </c>
      <c r="G13" s="25">
        <f>WORKDAY.INTL(tblProc[[#This Row],[Required on site]],-(tblProc[[#This Row],[Lead (wd)]]+Buffer),"0000001")</f>
        <v>46277</v>
      </c>
      <c r="H13" s="26">
        <v>46276</v>
      </c>
      <c r="I13" s="25">
        <f>IF(tblProc[[#This Row],[PO date]]="","",WORKDAY.INTL(tblProc[[#This Row],[PO date]],tblProc[[#This Row],[Lead (wd)]],"0000001"))</f>
        <v>46284</v>
      </c>
      <c r="J13" s="26">
        <v>46284</v>
      </c>
      <c r="K13" s="16" cm="1">
        <f t="array" ref="K13">_xlfn.LET(_xlpm.ros,tblProc[[#This Row],[Required on site]],_xlpm.arrive,IF(tblProc[[#This Row],[Delivered]]&lt;&gt;"",tblProc[[#This Row],[Delivered]],tblProc[[#This Row],[Expected delivery]]),IF(tblProc[[#This Row],[PO date]]="",WorkdaysBetween(StatusDate,tblProc[[#This Row],[Order by]]),WorkdaysBetween(_xlpm.arrive,_xlpm.ros)))</f>
        <v>4</v>
      </c>
      <c r="L13" s="17" t="str" cm="1">
        <f t="array" ref="L13">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Delivered</v>
      </c>
    </row>
    <row r="14" spans="2:15" x14ac:dyDescent="0.3">
      <c r="B14">
        <v>9</v>
      </c>
      <c r="C14" t="str">
        <f>_xlfn.XLOOKUP(tblProc[[#This Row],[Line]],tblBOM[Line],tblBOM[Item])</f>
        <v>DC solar cable 6 mm2, red</v>
      </c>
      <c r="D14" t="str">
        <f>_xlfn.XLOOKUP(tblProc[[#This Row],[Line]],tblBOM[Line],tblBOM[Needed for])</f>
        <v>Module installation start</v>
      </c>
      <c r="E14" s="25">
        <f>_xlfn.XLOOKUP(tblProc[[#This Row],[Needed for]],tblMilestones[Milestone],tblMilestones[Date])</f>
        <v>46294</v>
      </c>
      <c r="F14">
        <f>_xlfn.XLOOKUP(tblProc[[#This Row],[Line]],tblBOM[Line],tblBOM[Lead (wd)])</f>
        <v>4</v>
      </c>
      <c r="G14" s="25">
        <f>WORKDAY.INTL(tblProc[[#This Row],[Required on site]],-(tblProc[[#This Row],[Lead (wd)]]+Buffer),"0000001")</f>
        <v>46286</v>
      </c>
      <c r="H14" s="26"/>
      <c r="I14" s="25" t="str">
        <f>IF(tblProc[[#This Row],[PO date]]="","",WORKDAY.INTL(tblProc[[#This Row],[PO date]],tblProc[[#This Row],[Lead (wd)]],"0000001"))</f>
        <v/>
      </c>
      <c r="J14" s="26"/>
      <c r="K14" s="16" cm="1">
        <f t="array" ref="K14">_xlfn.LET(_xlpm.ros,tblProc[[#This Row],[Required on site]],_xlpm.arrive,IF(tblProc[[#This Row],[Delivered]]&lt;&gt;"",tblProc[[#This Row],[Delivered]],tblProc[[#This Row],[Expected delivery]]),IF(tblProc[[#This Row],[PO date]]="",WorkdaysBetween(StatusDate,tblProc[[#This Row],[Order by]]),WorkdaysBetween(_xlpm.arrive,_xlpm.ros)))</f>
        <v>0</v>
      </c>
      <c r="L14" s="17" t="str" cm="1">
        <f t="array" ref="L14">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Order due</v>
      </c>
    </row>
    <row r="15" spans="2:15" x14ac:dyDescent="0.3">
      <c r="B15">
        <v>10</v>
      </c>
      <c r="C15" t="str">
        <f>_xlfn.XLOOKUP(tblProc[[#This Row],[Line]],tblBOM[Line],tblBOM[Item])</f>
        <v>DC solar cable 6 mm2, black</v>
      </c>
      <c r="D15" t="str">
        <f>_xlfn.XLOOKUP(tblProc[[#This Row],[Line]],tblBOM[Line],tblBOM[Needed for])</f>
        <v>Module installation start</v>
      </c>
      <c r="E15" s="25">
        <f>_xlfn.XLOOKUP(tblProc[[#This Row],[Needed for]],tblMilestones[Milestone],tblMilestones[Date])</f>
        <v>46294</v>
      </c>
      <c r="F15">
        <f>_xlfn.XLOOKUP(tblProc[[#This Row],[Line]],tblBOM[Line],tblBOM[Lead (wd)])</f>
        <v>4</v>
      </c>
      <c r="G15" s="25">
        <f>WORKDAY.INTL(tblProc[[#This Row],[Required on site]],-(tblProc[[#This Row],[Lead (wd)]]+Buffer),"0000001")</f>
        <v>46286</v>
      </c>
      <c r="H15" s="26"/>
      <c r="I15" s="25" t="str">
        <f>IF(tblProc[[#This Row],[PO date]]="","",WORKDAY.INTL(tblProc[[#This Row],[PO date]],tblProc[[#This Row],[Lead (wd)]],"0000001"))</f>
        <v/>
      </c>
      <c r="J15" s="26"/>
      <c r="K15" s="16" cm="1">
        <f t="array" ref="K15">_xlfn.LET(_xlpm.ros,tblProc[[#This Row],[Required on site]],_xlpm.arrive,IF(tblProc[[#This Row],[Delivered]]&lt;&gt;"",tblProc[[#This Row],[Delivered]],tblProc[[#This Row],[Expected delivery]]),IF(tblProc[[#This Row],[PO date]]="",WorkdaysBetween(StatusDate,tblProc[[#This Row],[Order by]]),WorkdaysBetween(_xlpm.arrive,_xlpm.ros)))</f>
        <v>0</v>
      </c>
      <c r="L15" s="17" t="str" cm="1">
        <f t="array" ref="L15">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Order due</v>
      </c>
    </row>
    <row r="16" spans="2:15" x14ac:dyDescent="0.3">
      <c r="B16">
        <v>11</v>
      </c>
      <c r="C16" t="str">
        <f>_xlfn.XLOOKUP(tblProc[[#This Row],[Line]],tblBOM[Line],tblBOM[Item])</f>
        <v>MC4 connector pair</v>
      </c>
      <c r="D16" t="str">
        <f>_xlfn.XLOOKUP(tblProc[[#This Row],[Line]],tblBOM[Line],tblBOM[Needed for])</f>
        <v>Module installation start</v>
      </c>
      <c r="E16" s="25">
        <f>_xlfn.XLOOKUP(tblProc[[#This Row],[Needed for]],tblMilestones[Milestone],tblMilestones[Date])</f>
        <v>46294</v>
      </c>
      <c r="F16">
        <f>_xlfn.XLOOKUP(tblProc[[#This Row],[Line]],tblBOM[Line],tblBOM[Lead (wd)])</f>
        <v>4</v>
      </c>
      <c r="G16" s="25">
        <f>WORKDAY.INTL(tblProc[[#This Row],[Required on site]],-(tblProc[[#This Row],[Lead (wd)]]+Buffer),"0000001")</f>
        <v>46286</v>
      </c>
      <c r="H16" s="26"/>
      <c r="I16" s="25" t="str">
        <f>IF(tblProc[[#This Row],[PO date]]="","",WORKDAY.INTL(tblProc[[#This Row],[PO date]],tblProc[[#This Row],[Lead (wd)]],"0000001"))</f>
        <v/>
      </c>
      <c r="J16" s="26"/>
      <c r="K16" s="16" cm="1">
        <f t="array" ref="K16">_xlfn.LET(_xlpm.ros,tblProc[[#This Row],[Required on site]],_xlpm.arrive,IF(tblProc[[#This Row],[Delivered]]&lt;&gt;"",tblProc[[#This Row],[Delivered]],tblProc[[#This Row],[Expected delivery]]),IF(tblProc[[#This Row],[PO date]]="",WorkdaysBetween(StatusDate,tblProc[[#This Row],[Order by]]),WorkdaysBetween(_xlpm.arrive,_xlpm.ros)))</f>
        <v>0</v>
      </c>
      <c r="L16" s="17" t="str" cm="1">
        <f t="array" ref="L16">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Order due</v>
      </c>
    </row>
    <row r="17" spans="2:12" x14ac:dyDescent="0.3">
      <c r="B17">
        <v>12</v>
      </c>
      <c r="C17" t="str">
        <f>_xlfn.XLOOKUP(tblProc[[#This Row],[Line]],tblBOM[Line],tblBOM[Item])</f>
        <v>Cable tray, perforated, galvanised</v>
      </c>
      <c r="D17" t="str">
        <f>_xlfn.XLOOKUP(tblProc[[#This Row],[Line]],tblBOM[Line],tblBOM[Needed for])</f>
        <v>Electrical installation start</v>
      </c>
      <c r="E17" s="25">
        <f>_xlfn.XLOOKUP(tblProc[[#This Row],[Needed for]],tblMilestones[Milestone],tblMilestones[Date])</f>
        <v>46296</v>
      </c>
      <c r="F17">
        <f>_xlfn.XLOOKUP(tblProc[[#This Row],[Line]],tblBOM[Line],tblBOM[Lead (wd)])</f>
        <v>5</v>
      </c>
      <c r="G17" s="25">
        <f>WORKDAY.INTL(tblProc[[#This Row],[Required on site]],-(tblProc[[#This Row],[Lead (wd)]]+Buffer),"0000001")</f>
        <v>46287</v>
      </c>
      <c r="H17" s="26"/>
      <c r="I17" s="25" t="str">
        <f>IF(tblProc[[#This Row],[PO date]]="","",WORKDAY.INTL(tblProc[[#This Row],[PO date]],tblProc[[#This Row],[Lead (wd)]],"0000001"))</f>
        <v/>
      </c>
      <c r="J17" s="26"/>
      <c r="K17" s="16" cm="1">
        <f t="array" ref="K17">_xlfn.LET(_xlpm.ros,tblProc[[#This Row],[Required on site]],_xlpm.arrive,IF(tblProc[[#This Row],[Delivered]]&lt;&gt;"",tblProc[[#This Row],[Delivered]],tblProc[[#This Row],[Expected delivery]]),IF(tblProc[[#This Row],[PO date]]="",WorkdaysBetween(StatusDate,tblProc[[#This Row],[Order by]]),WorkdaysBetween(_xlpm.arrive,_xlpm.ros)))</f>
        <v>1</v>
      </c>
      <c r="L17" s="17" t="str" cm="1">
        <f t="array" ref="L17">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Order due</v>
      </c>
    </row>
    <row r="18" spans="2:12" x14ac:dyDescent="0.3">
      <c r="B18">
        <v>13</v>
      </c>
      <c r="C18" t="str">
        <f>_xlfn.XLOOKUP(tblProc[[#This Row],[Line]],tblBOM[Line],tblBOM[Item])</f>
        <v>AC cable, 4-core 70 mm2 Cu armoured</v>
      </c>
      <c r="D18" t="str">
        <f>_xlfn.XLOOKUP(tblProc[[#This Row],[Line]],tblBOM[Line],tblBOM[Needed for])</f>
        <v>Electrical installation start</v>
      </c>
      <c r="E18" s="25">
        <f>_xlfn.XLOOKUP(tblProc[[#This Row],[Needed for]],tblMilestones[Milestone],tblMilestones[Date])</f>
        <v>46296</v>
      </c>
      <c r="F18">
        <f>_xlfn.XLOOKUP(tblProc[[#This Row],[Line]],tblBOM[Line],tblBOM[Lead (wd)])</f>
        <v>6</v>
      </c>
      <c r="G18" s="25">
        <f>WORKDAY.INTL(tblProc[[#This Row],[Required on site]],-(tblProc[[#This Row],[Lead (wd)]]+Buffer),"0000001")</f>
        <v>46286</v>
      </c>
      <c r="H18" s="26">
        <v>46284</v>
      </c>
      <c r="I18" s="25">
        <f>IF(tblProc[[#This Row],[PO date]]="","",WORKDAY.INTL(tblProc[[#This Row],[PO date]],tblProc[[#This Row],[Lead (wd)]],"0000001"))</f>
        <v>46291</v>
      </c>
      <c r="J18" s="26"/>
      <c r="K18" s="16" cm="1">
        <f t="array" ref="K18">_xlfn.LET(_xlpm.ros,tblProc[[#This Row],[Required on site]],_xlpm.arrive,IF(tblProc[[#This Row],[Delivered]]&lt;&gt;"",tblProc[[#This Row],[Delivered]],tblProc[[#This Row],[Expected delivery]]),IF(tblProc[[#This Row],[PO date]]="",WorkdaysBetween(StatusDate,tblProc[[#This Row],[Order by]]),WorkdaysBetween(_xlpm.arrive,_xlpm.ros)))</f>
        <v>4</v>
      </c>
      <c r="L18" s="17" t="str" cm="1">
        <f t="array" ref="L18">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On order</v>
      </c>
    </row>
    <row r="19" spans="2:12" x14ac:dyDescent="0.3">
      <c r="B19">
        <v>14</v>
      </c>
      <c r="C19" t="str">
        <f>_xlfn.XLOOKUP(tblProc[[#This Row],[Line]],tblBOM[Line],tblBOM[Item])</f>
        <v>MCCB 4-pole 200 A</v>
      </c>
      <c r="D19" t="str">
        <f>_xlfn.XLOOKUP(tblProc[[#This Row],[Line]],tblBOM[Line],tblBOM[Needed for])</f>
        <v>Electrical installation start</v>
      </c>
      <c r="E19" s="25">
        <f>_xlfn.XLOOKUP(tblProc[[#This Row],[Needed for]],tblMilestones[Milestone],tblMilestones[Date])</f>
        <v>46296</v>
      </c>
      <c r="F19">
        <f>_xlfn.XLOOKUP(tblProc[[#This Row],[Line]],tblBOM[Line],tblBOM[Lead (wd)])</f>
        <v>7</v>
      </c>
      <c r="G19" s="25">
        <f>WORKDAY.INTL(tblProc[[#This Row],[Required on site]],-(tblProc[[#This Row],[Lead (wd)]]+Buffer),"0000001")</f>
        <v>46284</v>
      </c>
      <c r="H19" s="26"/>
      <c r="I19" s="25" t="str">
        <f>IF(tblProc[[#This Row],[PO date]]="","",WORKDAY.INTL(tblProc[[#This Row],[PO date]],tblProc[[#This Row],[Lead (wd)]],"0000001"))</f>
        <v/>
      </c>
      <c r="J19" s="26"/>
      <c r="K19" s="16" cm="1">
        <f t="array" ref="K19">_xlfn.LET(_xlpm.ros,tblProc[[#This Row],[Required on site]],_xlpm.arrive,IF(tblProc[[#This Row],[Delivered]]&lt;&gt;"",tblProc[[#This Row],[Delivered]],tblProc[[#This Row],[Expected delivery]]),IF(tblProc[[#This Row],[PO date]]="",WorkdaysBetween(StatusDate,tblProc[[#This Row],[Order by]]),WorkdaysBetween(_xlpm.arrive,_xlpm.ros)))</f>
        <v>-1</v>
      </c>
      <c r="L19" s="17" t="str" cm="1">
        <f t="array" ref="L19">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Order overdue</v>
      </c>
    </row>
    <row r="20" spans="2:12" x14ac:dyDescent="0.3">
      <c r="B20">
        <v>15</v>
      </c>
      <c r="C20" t="str">
        <f>_xlfn.XLOOKUP(tblProc[[#This Row],[Line]],tblBOM[Line],tblBOM[Item])</f>
        <v>Surge protection device, Type 2, AC</v>
      </c>
      <c r="D20" t="str">
        <f>_xlfn.XLOOKUP(tblProc[[#This Row],[Line]],tblBOM[Line],tblBOM[Needed for])</f>
        <v>Electrical installation start</v>
      </c>
      <c r="E20" s="25">
        <f>_xlfn.XLOOKUP(tblProc[[#This Row],[Needed for]],tblMilestones[Milestone],tblMilestones[Date])</f>
        <v>46296</v>
      </c>
      <c r="F20">
        <f>_xlfn.XLOOKUP(tblProc[[#This Row],[Line]],tblBOM[Line],tblBOM[Lead (wd)])</f>
        <v>7</v>
      </c>
      <c r="G20" s="25">
        <f>WORKDAY.INTL(tblProc[[#This Row],[Required on site]],-(tblProc[[#This Row],[Lead (wd)]]+Buffer),"0000001")</f>
        <v>46284</v>
      </c>
      <c r="H20" s="26">
        <v>46283</v>
      </c>
      <c r="I20" s="25">
        <f>IF(tblProc[[#This Row],[PO date]]="","",WORKDAY.INTL(tblProc[[#This Row],[PO date]],tblProc[[#This Row],[Lead (wd)]],"0000001"))</f>
        <v>46291</v>
      </c>
      <c r="J20" s="26"/>
      <c r="K20" s="16" cm="1">
        <f t="array" ref="K20">_xlfn.LET(_xlpm.ros,tblProc[[#This Row],[Required on site]],_xlpm.arrive,IF(tblProc[[#This Row],[Delivered]]&lt;&gt;"",tblProc[[#This Row],[Delivered]],tblProc[[#This Row],[Expected delivery]]),IF(tblProc[[#This Row],[PO date]]="",WorkdaysBetween(StatusDate,tblProc[[#This Row],[Order by]]),WorkdaysBetween(_xlpm.arrive,_xlpm.ros)))</f>
        <v>4</v>
      </c>
      <c r="L20" s="17" t="str" cm="1">
        <f t="array" ref="L20">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On order</v>
      </c>
    </row>
    <row r="21" spans="2:12" x14ac:dyDescent="0.3">
      <c r="B21">
        <v>16</v>
      </c>
      <c r="C21" t="str">
        <f>_xlfn.XLOOKUP(tblProc[[#This Row],[Line]],tblBOM[Line],tblBOM[Item])</f>
        <v>Earth rod with inspection pit</v>
      </c>
      <c r="D21" t="str">
        <f>_xlfn.XLOOKUP(tblProc[[#This Row],[Line]],tblBOM[Line],tblBOM[Needed for])</f>
        <v>Mounting installation start</v>
      </c>
      <c r="E21" s="25">
        <f>_xlfn.XLOOKUP(tblProc[[#This Row],[Needed for]],tblMilestones[Milestone],tblMilestones[Date])</f>
        <v>46289</v>
      </c>
      <c r="F21">
        <f>_xlfn.XLOOKUP(tblProc[[#This Row],[Line]],tblBOM[Line],tblBOM[Lead (wd)])</f>
        <v>3</v>
      </c>
      <c r="G21" s="25">
        <f>WORKDAY.INTL(tblProc[[#This Row],[Required on site]],-(tblProc[[#This Row],[Lead (wd)]]+Buffer),"0000001")</f>
        <v>46282</v>
      </c>
      <c r="H21" s="26">
        <v>46281</v>
      </c>
      <c r="I21" s="25">
        <f>IF(tblProc[[#This Row],[PO date]]="","",WORKDAY.INTL(tblProc[[#This Row],[PO date]],tblProc[[#This Row],[Lead (wd)]],"0000001"))</f>
        <v>46284</v>
      </c>
      <c r="J21" s="26">
        <v>46284</v>
      </c>
      <c r="K21" s="16" cm="1">
        <f t="array" ref="K21">_xlfn.LET(_xlpm.ros,tblProc[[#This Row],[Required on site]],_xlpm.arrive,IF(tblProc[[#This Row],[Delivered]]&lt;&gt;"",tblProc[[#This Row],[Delivered]],tblProc[[#This Row],[Expected delivery]]),IF(tblProc[[#This Row],[PO date]]="",WorkdaysBetween(StatusDate,tblProc[[#This Row],[Order by]]),WorkdaysBetween(_xlpm.arrive,_xlpm.ros)))</f>
        <v>4</v>
      </c>
      <c r="L21" s="17" t="str" cm="1">
        <f t="array" ref="L21">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Delivered</v>
      </c>
    </row>
    <row r="22" spans="2:12" x14ac:dyDescent="0.3">
      <c r="B22">
        <v>17</v>
      </c>
      <c r="C22" t="str">
        <f>_xlfn.XLOOKUP(tblProc[[#This Row],[Line]],tblBOM[Line],tblBOM[Item])</f>
        <v>Earth cable 16 mm2 Cu</v>
      </c>
      <c r="D22" t="str">
        <f>_xlfn.XLOOKUP(tblProc[[#This Row],[Line]],tblBOM[Line],tblBOM[Needed for])</f>
        <v>Mounting installation start</v>
      </c>
      <c r="E22" s="25">
        <f>_xlfn.XLOOKUP(tblProc[[#This Row],[Needed for]],tblMilestones[Milestone],tblMilestones[Date])</f>
        <v>46289</v>
      </c>
      <c r="F22">
        <f>_xlfn.XLOOKUP(tblProc[[#This Row],[Line]],tblBOM[Line],tblBOM[Lead (wd)])</f>
        <v>3</v>
      </c>
      <c r="G22" s="25">
        <f>WORKDAY.INTL(tblProc[[#This Row],[Required on site]],-(tblProc[[#This Row],[Lead (wd)]]+Buffer),"0000001")</f>
        <v>46282</v>
      </c>
      <c r="H22" s="26">
        <v>46281</v>
      </c>
      <c r="I22" s="25">
        <f>IF(tblProc[[#This Row],[PO date]]="","",WORKDAY.INTL(tblProc[[#This Row],[PO date]],tblProc[[#This Row],[Lead (wd)]],"0000001"))</f>
        <v>46284</v>
      </c>
      <c r="J22" s="26">
        <v>46284</v>
      </c>
      <c r="K22" s="16" cm="1">
        <f t="array" ref="K22">_xlfn.LET(_xlpm.ros,tblProc[[#This Row],[Required on site]],_xlpm.arrive,IF(tblProc[[#This Row],[Delivered]]&lt;&gt;"",tblProc[[#This Row],[Delivered]],tblProc[[#This Row],[Expected delivery]]),IF(tblProc[[#This Row],[PO date]]="",WorkdaysBetween(StatusDate,tblProc[[#This Row],[Order by]]),WorkdaysBetween(_xlpm.arrive,_xlpm.ros)))</f>
        <v>4</v>
      </c>
      <c r="L22" s="17" t="str" cm="1">
        <f t="array" ref="L22">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Delivered</v>
      </c>
    </row>
    <row r="23" spans="2:12" x14ac:dyDescent="0.3">
      <c r="B23">
        <v>18</v>
      </c>
      <c r="C23" t="str">
        <f>_xlfn.XLOOKUP(tblProc[[#This Row],[Line]],tblBOM[Line],tblBOM[Item])</f>
        <v>Mechanical installation crew</v>
      </c>
      <c r="D23" t="str">
        <f>_xlfn.XLOOKUP(tblProc[[#This Row],[Line]],tblBOM[Line],tblBOM[Needed for])</f>
        <v>Mounting installation start</v>
      </c>
      <c r="E23" s="25">
        <f>_xlfn.XLOOKUP(tblProc[[#This Row],[Needed for]],tblMilestones[Milestone],tblMilestones[Date])</f>
        <v>46289</v>
      </c>
      <c r="F23">
        <f>_xlfn.XLOOKUP(tblProc[[#This Row],[Line]],tblBOM[Line],tblBOM[Lead (wd)])</f>
        <v>5</v>
      </c>
      <c r="G23" s="25">
        <f>WORKDAY.INTL(tblProc[[#This Row],[Required on site]],-(tblProc[[#This Row],[Lead (wd)]]+Buffer),"0000001")</f>
        <v>46280</v>
      </c>
      <c r="H23" s="26">
        <v>46279</v>
      </c>
      <c r="I23" s="25">
        <f>IF(tblProc[[#This Row],[PO date]]="","",WORKDAY.INTL(tblProc[[#This Row],[PO date]],tblProc[[#This Row],[Lead (wd)]],"0000001"))</f>
        <v>46284</v>
      </c>
      <c r="J23" s="26"/>
      <c r="K23" s="16" cm="1">
        <f t="array" ref="K23">_xlfn.LET(_xlpm.ros,tblProc[[#This Row],[Required on site]],_xlpm.arrive,IF(tblProc[[#This Row],[Delivered]]&lt;&gt;"",tblProc[[#This Row],[Delivered]],tblProc[[#This Row],[Expected delivery]]),IF(tblProc[[#This Row],[PO date]]="",WorkdaysBetween(StatusDate,tblProc[[#This Row],[Order by]]),WorkdaysBetween(_xlpm.arrive,_xlpm.ros)))</f>
        <v>4</v>
      </c>
      <c r="L23" s="17" t="str" cm="1">
        <f t="array" ref="L23">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On order</v>
      </c>
    </row>
    <row r="24" spans="2:12" x14ac:dyDescent="0.3">
      <c r="B24">
        <v>19</v>
      </c>
      <c r="C24" t="str">
        <f>_xlfn.XLOOKUP(tblProc[[#This Row],[Line]],tblBOM[Line],tblBOM[Item])</f>
        <v>Electrical installation crew</v>
      </c>
      <c r="D24" t="str">
        <f>_xlfn.XLOOKUP(tblProc[[#This Row],[Line]],tblBOM[Line],tblBOM[Needed for])</f>
        <v>Electrical installation start</v>
      </c>
      <c r="E24" s="25">
        <f>_xlfn.XLOOKUP(tblProc[[#This Row],[Needed for]],tblMilestones[Milestone],tblMilestones[Date])</f>
        <v>46296</v>
      </c>
      <c r="F24">
        <f>_xlfn.XLOOKUP(tblProc[[#This Row],[Line]],tblBOM[Line],tblBOM[Lead (wd)])</f>
        <v>5</v>
      </c>
      <c r="G24" s="25">
        <f>WORKDAY.INTL(tblProc[[#This Row],[Required on site]],-(tblProc[[#This Row],[Lead (wd)]]+Buffer),"0000001")</f>
        <v>46287</v>
      </c>
      <c r="H24" s="26"/>
      <c r="I24" s="25" t="str">
        <f>IF(tblProc[[#This Row],[PO date]]="","",WORKDAY.INTL(tblProc[[#This Row],[PO date]],tblProc[[#This Row],[Lead (wd)]],"0000001"))</f>
        <v/>
      </c>
      <c r="J24" s="26"/>
      <c r="K24" s="16" cm="1">
        <f t="array" ref="K24">_xlfn.LET(_xlpm.ros,tblProc[[#This Row],[Required on site]],_xlpm.arrive,IF(tblProc[[#This Row],[Delivered]]&lt;&gt;"",tblProc[[#This Row],[Delivered]],tblProc[[#This Row],[Expected delivery]]),IF(tblProc[[#This Row],[PO date]]="",WorkdaysBetween(StatusDate,tblProc[[#This Row],[Order by]]),WorkdaysBetween(_xlpm.arrive,_xlpm.ros)))</f>
        <v>1</v>
      </c>
      <c r="L24" s="17" t="str" cm="1">
        <f t="array" ref="L24">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Order due</v>
      </c>
    </row>
    <row r="25" spans="2:12" x14ac:dyDescent="0.3">
      <c r="B25">
        <v>20</v>
      </c>
      <c r="C25" t="str">
        <f>_xlfn.XLOOKUP(tblProc[[#This Row],[Line]],tblBOM[Line],tblBOM[Item])</f>
        <v>Transport and lifting</v>
      </c>
      <c r="D25" t="str">
        <f>_xlfn.XLOOKUP(tblProc[[#This Row],[Line]],tblBOM[Line],tblBOM[Needed for])</f>
        <v>Mobilisation</v>
      </c>
      <c r="E25" s="25">
        <f>_xlfn.XLOOKUP(tblProc[[#This Row],[Needed for]],tblMilestones[Milestone],tblMilestones[Date])</f>
        <v>46288</v>
      </c>
      <c r="F25">
        <f>_xlfn.XLOOKUP(tblProc[[#This Row],[Line]],tblBOM[Line],tblBOM[Lead (wd)])</f>
        <v>3</v>
      </c>
      <c r="G25" s="25">
        <f>WORKDAY.INTL(tblProc[[#This Row],[Required on site]],-(tblProc[[#This Row],[Lead (wd)]]+Buffer),"0000001")</f>
        <v>46281</v>
      </c>
      <c r="H25" s="26">
        <v>46280</v>
      </c>
      <c r="I25" s="25">
        <f>IF(tblProc[[#This Row],[PO date]]="","",WORKDAY.INTL(tblProc[[#This Row],[PO date]],tblProc[[#This Row],[Lead (wd)]],"0000001"))</f>
        <v>46283</v>
      </c>
      <c r="J25" s="26"/>
      <c r="K25" s="16" cm="1">
        <f t="array" ref="K25">_xlfn.LET(_xlpm.ros,tblProc[[#This Row],[Required on site]],_xlpm.arrive,IF(tblProc[[#This Row],[Delivered]]&lt;&gt;"",tblProc[[#This Row],[Delivered]],tblProc[[#This Row],[Expected delivery]]),IF(tblProc[[#This Row],[PO date]]="",WorkdaysBetween(StatusDate,tblProc[[#This Row],[Order by]]),WorkdaysBetween(_xlpm.arrive,_xlpm.ros)))</f>
        <v>4</v>
      </c>
      <c r="L25" s="17" t="str" cm="1">
        <f t="array" ref="L25">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On order</v>
      </c>
    </row>
    <row r="26" spans="2:12" x14ac:dyDescent="0.3">
      <c r="B26">
        <v>21</v>
      </c>
      <c r="C26" t="str">
        <f>_xlfn.XLOOKUP(tblProc[[#This Row],[Line]],tblBOM[Line],tblBOM[Item])</f>
        <v>Access and safety equipment</v>
      </c>
      <c r="D26" t="str">
        <f>_xlfn.XLOOKUP(tblProc[[#This Row],[Line]],tblBOM[Line],tblBOM[Needed for])</f>
        <v>Mobilisation</v>
      </c>
      <c r="E26" s="25">
        <f>_xlfn.XLOOKUP(tblProc[[#This Row],[Needed for]],tblMilestones[Milestone],tblMilestones[Date])</f>
        <v>46288</v>
      </c>
      <c r="F26">
        <f>_xlfn.XLOOKUP(tblProc[[#This Row],[Line]],tblBOM[Line],tblBOM[Lead (wd)])</f>
        <v>5</v>
      </c>
      <c r="G26" s="25">
        <f>WORKDAY.INTL(tblProc[[#This Row],[Required on site]],-(tblProc[[#This Row],[Lead (wd)]]+Buffer),"0000001")</f>
        <v>46279</v>
      </c>
      <c r="H26" s="26">
        <v>46277</v>
      </c>
      <c r="I26" s="25">
        <f>IF(tblProc[[#This Row],[PO date]]="","",WORKDAY.INTL(tblProc[[#This Row],[PO date]],tblProc[[#This Row],[Lead (wd)]],"0000001"))</f>
        <v>46283</v>
      </c>
      <c r="J26" s="26">
        <v>46283</v>
      </c>
      <c r="K26" s="16" cm="1">
        <f t="array" ref="K26">_xlfn.LET(_xlpm.ros,tblProc[[#This Row],[Required on site]],_xlpm.arrive,IF(tblProc[[#This Row],[Delivered]]&lt;&gt;"",tblProc[[#This Row],[Delivered]],tblProc[[#This Row],[Expected delivery]]),IF(tblProc[[#This Row],[PO date]]="",WorkdaysBetween(StatusDate,tblProc[[#This Row],[Order by]]),WorkdaysBetween(_xlpm.arrive,_xlpm.ros)))</f>
        <v>4</v>
      </c>
      <c r="L26" s="17" t="str" cm="1">
        <f t="array" ref="L26">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Delivered</v>
      </c>
    </row>
    <row r="27" spans="2:12" x14ac:dyDescent="0.3">
      <c r="B27">
        <v>22</v>
      </c>
      <c r="C27" t="str">
        <f>_xlfn.XLOOKUP(tblProc[[#This Row],[Line]],tblBOM[Line],tblBOM[Item])</f>
        <v>Testing and commissioning</v>
      </c>
      <c r="D27" t="str">
        <f>_xlfn.XLOOKUP(tblProc[[#This Row],[Line]],tblBOM[Line],tblBOM[Needed for])</f>
        <v>Testing and commissioning</v>
      </c>
      <c r="E27" s="25">
        <f>_xlfn.XLOOKUP(tblProc[[#This Row],[Needed for]],tblMilestones[Milestone],tblMilestones[Date])</f>
        <v>46302</v>
      </c>
      <c r="F27">
        <f>_xlfn.XLOOKUP(tblProc[[#This Row],[Line]],tblBOM[Line],tblBOM[Lead (wd)])</f>
        <v>5</v>
      </c>
      <c r="G27" s="25">
        <f>WORKDAY.INTL(tblProc[[#This Row],[Required on site]],-(tblProc[[#This Row],[Lead (wd)]]+Buffer),"0000001")</f>
        <v>46293</v>
      </c>
      <c r="H27" s="26"/>
      <c r="I27" s="25" t="str">
        <f>IF(tblProc[[#This Row],[PO date]]="","",WORKDAY.INTL(tblProc[[#This Row],[PO date]],tblProc[[#This Row],[Lead (wd)]],"0000001"))</f>
        <v/>
      </c>
      <c r="J27" s="26"/>
      <c r="K27" s="16" cm="1">
        <f t="array" ref="K27">_xlfn.LET(_xlpm.ros,tblProc[[#This Row],[Required on site]],_xlpm.arrive,IF(tblProc[[#This Row],[Delivered]]&lt;&gt;"",tblProc[[#This Row],[Delivered]],tblProc[[#This Row],[Expected delivery]]),IF(tblProc[[#This Row],[PO date]]="",WorkdaysBetween(StatusDate,tblProc[[#This Row],[Order by]]),WorkdaysBetween(_xlpm.arrive,_xlpm.ros)))</f>
        <v>6</v>
      </c>
      <c r="L27" s="17" t="str" cm="1">
        <f t="array" ref="L27">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Not yet due</v>
      </c>
    </row>
    <row r="28" spans="2:12" x14ac:dyDescent="0.3">
      <c r="B28">
        <v>23</v>
      </c>
      <c r="C28" t="str">
        <f>_xlfn.XLOOKUP(tblProc[[#This Row],[Line]],tblBOM[Line],tblBOM[Item])</f>
        <v>Net-metering application and bidirectional meter</v>
      </c>
      <c r="D28" t="str">
        <f>_xlfn.XLOOKUP(tblProc[[#This Row],[Line]],tblBOM[Line],tblBOM[Needed for])</f>
        <v>Net-metering energisation</v>
      </c>
      <c r="E28" s="25">
        <f>_xlfn.XLOOKUP(tblProc[[#This Row],[Needed for]],tblMilestones[Milestone],tblMilestones[Date])</f>
        <v>46324</v>
      </c>
      <c r="F28">
        <f>_xlfn.XLOOKUP(tblProc[[#This Row],[Line]],tblBOM[Line],tblBOM[Lead (wd)])</f>
        <v>35</v>
      </c>
      <c r="G28" s="25">
        <f>WORKDAY.INTL(tblProc[[#This Row],[Required on site]],-(tblProc[[#This Row],[Lead (wd)]]+Buffer),"0000001")</f>
        <v>46280</v>
      </c>
      <c r="H28" s="26">
        <v>46275</v>
      </c>
      <c r="I28" s="25">
        <f>IF(tblProc[[#This Row],[PO date]]="","",WORKDAY.INTL(tblProc[[#This Row],[PO date]],tblProc[[#This Row],[Lead (wd)]],"0000001"))</f>
        <v>46316</v>
      </c>
      <c r="J28" s="26"/>
      <c r="K28" s="16" cm="1">
        <f t="array" ref="K28">_xlfn.LET(_xlpm.ros,tblProc[[#This Row],[Required on site]],_xlpm.arrive,IF(tblProc[[#This Row],[Delivered]]&lt;&gt;"",tblProc[[#This Row],[Delivered]],tblProc[[#This Row],[Expected delivery]]),IF(tblProc[[#This Row],[PO date]]="",WorkdaysBetween(StatusDate,tblProc[[#This Row],[Order by]]),WorkdaysBetween(_xlpm.arrive,_xlpm.ros)))</f>
        <v>7</v>
      </c>
      <c r="L28" s="17" t="str" cm="1">
        <f t="array" ref="L28">_xlfn.LET(_xlpm.po,tblProc[[#This Row],[PO date]],_xlpm.exp,tblProc[[#This Row],[Expected delivery]],_xlpm.ros,tblProc[[#This Row],[Required on site]],_xlpm.ob,tblProc[[#This Row],[Order by]],_xlfn.IFS(tblProc[[#This Row],[Delivered]]&lt;&gt;"","Delivered",_xlpm.po&lt;&gt;"",IF(_xlpm.exp&gt;_xlpm.ros,"Late delivery","On order"),StatusDate&gt;_xlpm.ob,"Order overdue",WorkdaysBetween(StatusDate,_xlpm.ob)&lt;=3,"Order due",TRUE,"Not yet due"))</f>
        <v>On order</v>
      </c>
    </row>
  </sheetData>
  <conditionalFormatting sqref="L6:L28">
    <cfRule type="expression" dxfId="33" priority="1">
      <formula>$L6="Delivered"</formula>
    </cfRule>
    <cfRule type="expression" dxfId="32" priority="2">
      <formula>$L6="On order"</formula>
    </cfRule>
    <cfRule type="expression" dxfId="31" priority="3">
      <formula>$L6="Order due"</formula>
    </cfRule>
    <cfRule type="expression" dxfId="30" priority="4">
      <formula>OR($L6="Order overdue",$L6="Late delivery")</formula>
    </cfRule>
  </conditionalFormatting>
  <conditionalFormatting sqref="K6:K28">
    <cfRule type="expression" dxfId="29" priority="5">
      <formula>$K6&lt;0</formula>
    </cfRule>
  </conditionalFormatting>
  <conditionalFormatting sqref="N6:N11">
    <cfRule type="expression" dxfId="28" priority="6">
      <formula>$N6="Delivered"</formula>
    </cfRule>
    <cfRule type="expression" dxfId="27" priority="7">
      <formula>$N6="On order"</formula>
    </cfRule>
    <cfRule type="expression" dxfId="26" priority="8">
      <formula>$N6="Order due"</formula>
    </cfRule>
    <cfRule type="expression" dxfId="25" priority="9">
      <formula>OR($N6="Order overdue",$N6="Late delivery")</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09E38-BEBF-4318-A2B7-A3F91A758CB8}">
  <dimension ref="B2:Q29"/>
  <sheetViews>
    <sheetView showGridLines="0" zoomScale="85" zoomScaleNormal="85" workbookViewId="0">
      <selection activeCell="N6" sqref="N6"/>
    </sheetView>
  </sheetViews>
  <sheetFormatPr defaultRowHeight="14.4" x14ac:dyDescent="0.3"/>
  <cols>
    <col min="1" max="1" width="2.77734375" customWidth="1"/>
    <col min="2" max="2" width="6.77734375" customWidth="1"/>
    <col min="3" max="3" width="46.77734375" customWidth="1"/>
    <col min="4" max="4" width="22.77734375" customWidth="1"/>
    <col min="5" max="5" width="13.77734375" customWidth="1"/>
    <col min="6" max="6" width="14.77734375" customWidth="1"/>
    <col min="7" max="9" width="13.77734375" customWidth="1"/>
    <col min="10" max="10" width="8.77734375" customWidth="1"/>
    <col min="11" max="12" width="2.77734375" customWidth="1"/>
    <col min="13" max="13" width="22.77734375" customWidth="1"/>
    <col min="14" max="16" width="12.77734375" customWidth="1"/>
    <col min="17" max="17" width="11.77734375" customWidth="1"/>
  </cols>
  <sheetData>
    <row r="2" spans="2:17" ht="28.05" customHeight="1" x14ac:dyDescent="0.45">
      <c r="B2" s="1" t="s">
        <v>228</v>
      </c>
    </row>
    <row r="3" spans="2:17" x14ac:dyDescent="0.3">
      <c r="B3" s="2" t="s">
        <v>229</v>
      </c>
    </row>
    <row r="4" spans="2:17" ht="15.6" x14ac:dyDescent="0.3">
      <c r="M4" s="4" t="s">
        <v>235</v>
      </c>
    </row>
    <row r="5" spans="2:17" ht="28.8" x14ac:dyDescent="0.3">
      <c r="B5" s="5" t="s">
        <v>130</v>
      </c>
      <c r="C5" s="5" t="s">
        <v>131</v>
      </c>
      <c r="D5" s="5" t="s">
        <v>132</v>
      </c>
      <c r="E5" s="5" t="s">
        <v>137</v>
      </c>
      <c r="F5" s="5" t="s">
        <v>230</v>
      </c>
      <c r="G5" s="5" t="s">
        <v>231</v>
      </c>
      <c r="H5" s="5" t="s">
        <v>232</v>
      </c>
      <c r="I5" s="5" t="s">
        <v>233</v>
      </c>
      <c r="J5" s="5" t="s">
        <v>234</v>
      </c>
      <c r="M5" s="30" t="s">
        <v>132</v>
      </c>
      <c r="N5" s="30" t="s">
        <v>236</v>
      </c>
      <c r="O5" s="30" t="s">
        <v>237</v>
      </c>
      <c r="P5" s="30" t="s">
        <v>238</v>
      </c>
      <c r="Q5" s="30" t="s">
        <v>239</v>
      </c>
    </row>
    <row r="6" spans="2:17" x14ac:dyDescent="0.3">
      <c r="B6">
        <v>1</v>
      </c>
      <c r="C6" t="str">
        <f>_xlfn.XLOOKUP(tblCost[[#This Row],[Line]],tblBOM[Line],tblBOM[Item])</f>
        <v>PV module, Jinko JKM580N-72HL4-V 580 W</v>
      </c>
      <c r="D6" t="str">
        <f>_xlfn.XLOOKUP(tblCost[[#This Row],[Line]],tblBOM[Line],tblBOM[Category])</f>
        <v>Modules</v>
      </c>
      <c r="E6" s="27">
        <f>_xlfn.XLOOKUP(tblCost[[#This Row],[Line]],tblBOM[Line],tblBOM[Budget (PKR)])</f>
        <v>3100680</v>
      </c>
      <c r="F6" s="29">
        <v>3100700</v>
      </c>
      <c r="G6" s="29">
        <v>930200</v>
      </c>
      <c r="H6" s="27">
        <f>IF(tblCost[[#This Row],[Committed (PKR)]]&gt;0,tblCost[[#This Row],[Committed (PKR)]],tblCost[[#This Row],[Budget (PKR)]])</f>
        <v>3100700</v>
      </c>
      <c r="I6" s="27">
        <f>tblCost[[#This Row],[Budget (PKR)]]-tblCost[[#This Row],[Forecast (PKR)]]</f>
        <v>-20</v>
      </c>
      <c r="J6" s="28">
        <f>IFERROR(ROUND(tblCost[[#This Row],[Variance (PKR)]]/tblCost[[#This Row],[Budget (PKR)]],3),0)</f>
        <v>0</v>
      </c>
      <c r="M6" s="31" t="str" cm="1">
        <f t="array" ref="M6:M13">_xlfn.UNIQUE(tblCost[Category])</f>
        <v>Modules</v>
      </c>
      <c r="N6" s="32" cm="1">
        <f t="array" ref="N6:N13">SUMIFS(tblCost[Budget (PKR)],tblCost[Category],_xlfn.ANCHORARRAY(M6))</f>
        <v>3100680</v>
      </c>
      <c r="O6" s="32" cm="1">
        <f t="array" ref="O6:O13">SUMIFS(tblCost[Committed (PKR)],tblCost[Category],_xlfn.ANCHORARRAY(M6))</f>
        <v>3100700</v>
      </c>
      <c r="P6" s="32" cm="1">
        <f t="array" ref="P6:P13">SUMIFS(tblCost[Forecast (PKR)],tblCost[Category],_xlfn.ANCHORARRAY(M6))</f>
        <v>3100700</v>
      </c>
      <c r="Q6" s="32" cm="1">
        <f t="array" ref="Q6:Q13">_xlfn.ANCHORARRAY(N6)-_xlfn.ANCHORARRAY(P6)</f>
        <v>-20</v>
      </c>
    </row>
    <row r="7" spans="2:17" x14ac:dyDescent="0.3">
      <c r="B7">
        <v>2</v>
      </c>
      <c r="C7" t="str">
        <f>_xlfn.XLOOKUP(tblCost[[#This Row],[Line]],tblBOM[Line],tblBOM[Item])</f>
        <v>Inverter, Huawei SUN2000-100KTL-M2</v>
      </c>
      <c r="D7" t="str">
        <f>_xlfn.XLOOKUP(tblCost[[#This Row],[Line]],tblBOM[Line],tblBOM[Category])</f>
        <v>Inverter and monitoring</v>
      </c>
      <c r="E7" s="27">
        <f>_xlfn.XLOOKUP(tblCost[[#This Row],[Line]],tblBOM[Line],tblBOM[Budget (PKR)])</f>
        <v>1450000</v>
      </c>
      <c r="F7" s="29">
        <v>1450000</v>
      </c>
      <c r="G7" s="29">
        <v>0</v>
      </c>
      <c r="H7" s="27">
        <f>IF(tblCost[[#This Row],[Committed (PKR)]]&gt;0,tblCost[[#This Row],[Committed (PKR)]],tblCost[[#This Row],[Budget (PKR)]])</f>
        <v>1450000</v>
      </c>
      <c r="I7" s="27">
        <f>tblCost[[#This Row],[Budget (PKR)]]-tblCost[[#This Row],[Forecast (PKR)]]</f>
        <v>0</v>
      </c>
      <c r="J7" s="28">
        <f>IFERROR(ROUND(tblCost[[#This Row],[Variance (PKR)]]/tblCost[[#This Row],[Budget (PKR)]],3),0)</f>
        <v>0</v>
      </c>
      <c r="M7" s="33" t="str">
        <v>Inverter and monitoring</v>
      </c>
      <c r="N7" s="34">
        <v>1492000</v>
      </c>
      <c r="O7" s="34">
        <v>1492000</v>
      </c>
      <c r="P7" s="34">
        <v>1492000</v>
      </c>
      <c r="Q7" s="34">
        <v>0</v>
      </c>
    </row>
    <row r="8" spans="2:17" x14ac:dyDescent="0.3">
      <c r="B8">
        <v>3</v>
      </c>
      <c r="C8" t="str">
        <f>_xlfn.XLOOKUP(tblCost[[#This Row],[Line]],tblBOM[Line],tblBOM[Item])</f>
        <v>Smart Dongle 4G (monitoring)</v>
      </c>
      <c r="D8" t="str">
        <f>_xlfn.XLOOKUP(tblCost[[#This Row],[Line]],tblBOM[Line],tblBOM[Category])</f>
        <v>Inverter and monitoring</v>
      </c>
      <c r="E8" s="27">
        <f>_xlfn.XLOOKUP(tblCost[[#This Row],[Line]],tblBOM[Line],tblBOM[Budget (PKR)])</f>
        <v>42000</v>
      </c>
      <c r="F8" s="29">
        <v>42000</v>
      </c>
      <c r="G8" s="29">
        <v>0</v>
      </c>
      <c r="H8" s="27">
        <f>IF(tblCost[[#This Row],[Committed (PKR)]]&gt;0,tblCost[[#This Row],[Committed (PKR)]],tblCost[[#This Row],[Budget (PKR)]])</f>
        <v>42000</v>
      </c>
      <c r="I8" s="27">
        <f>tblCost[[#This Row],[Budget (PKR)]]-tblCost[[#This Row],[Forecast (PKR)]]</f>
        <v>0</v>
      </c>
      <c r="J8" s="28">
        <f>IFERROR(ROUND(tblCost[[#This Row],[Variance (PKR)]]/tblCost[[#This Row],[Budget (PKR)]],3),0)</f>
        <v>0</v>
      </c>
      <c r="M8" s="33" t="str">
        <v>Mounting</v>
      </c>
      <c r="N8" s="34">
        <v>839740</v>
      </c>
      <c r="O8" s="34">
        <v>890100</v>
      </c>
      <c r="P8" s="34">
        <v>890100</v>
      </c>
      <c r="Q8" s="34">
        <v>-50360</v>
      </c>
    </row>
    <row r="9" spans="2:17" x14ac:dyDescent="0.3">
      <c r="B9">
        <v>4</v>
      </c>
      <c r="C9" t="str">
        <f>_xlfn.XLOOKUP(tblCost[[#This Row],[Line]],tblBOM[Line],tblBOM[Item])</f>
        <v>Aluminium mounting rail, 4.2 m</v>
      </c>
      <c r="D9" t="str">
        <f>_xlfn.XLOOKUP(tblCost[[#This Row],[Line]],tblBOM[Line],tblBOM[Category])</f>
        <v>Mounting</v>
      </c>
      <c r="E9" s="27">
        <f>_xlfn.XLOOKUP(tblCost[[#This Row],[Line]],tblBOM[Line],tblBOM[Budget (PKR)])</f>
        <v>528000</v>
      </c>
      <c r="F9" s="29">
        <v>559700</v>
      </c>
      <c r="G9" s="29">
        <v>559700</v>
      </c>
      <c r="H9" s="27">
        <f>IF(tblCost[[#This Row],[Committed (PKR)]]&gt;0,tblCost[[#This Row],[Committed (PKR)]],tblCost[[#This Row],[Budget (PKR)]])</f>
        <v>559700</v>
      </c>
      <c r="I9" s="27">
        <f>tblCost[[#This Row],[Budget (PKR)]]-tblCost[[#This Row],[Forecast (PKR)]]</f>
        <v>-31700</v>
      </c>
      <c r="J9" s="28">
        <f>IFERROR(ROUND(tblCost[[#This Row],[Variance (PKR)]]/tblCost[[#This Row],[Budget (PKR)]],3),0)</f>
        <v>-0.06</v>
      </c>
      <c r="M9" s="33" t="str">
        <v>DC electrical</v>
      </c>
      <c r="N9" s="34">
        <v>368430</v>
      </c>
      <c r="O9" s="34">
        <v>0</v>
      </c>
      <c r="P9" s="34">
        <v>368430</v>
      </c>
      <c r="Q9" s="34">
        <v>0</v>
      </c>
    </row>
    <row r="10" spans="2:17" x14ac:dyDescent="0.3">
      <c r="B10">
        <v>5</v>
      </c>
      <c r="C10" t="str">
        <f>_xlfn.XLOOKUP(tblCost[[#This Row],[Line]],tblBOM[Line],tblBOM[Item])</f>
        <v>Rail splice</v>
      </c>
      <c r="D10" t="str">
        <f>_xlfn.XLOOKUP(tblCost[[#This Row],[Line]],tblBOM[Line],tblBOM[Category])</f>
        <v>Mounting</v>
      </c>
      <c r="E10" s="27">
        <f>_xlfn.XLOOKUP(tblCost[[#This Row],[Line]],tblBOM[Line],tblBOM[Budget (PKR)])</f>
        <v>30800</v>
      </c>
      <c r="F10" s="29">
        <v>32600</v>
      </c>
      <c r="G10" s="29">
        <v>32600</v>
      </c>
      <c r="H10" s="27">
        <f>IF(tblCost[[#This Row],[Committed (PKR)]]&gt;0,tblCost[[#This Row],[Committed (PKR)]],tblCost[[#This Row],[Budget (PKR)]])</f>
        <v>32600</v>
      </c>
      <c r="I10" s="27">
        <f>tblCost[[#This Row],[Budget (PKR)]]-tblCost[[#This Row],[Forecast (PKR)]]</f>
        <v>-1800</v>
      </c>
      <c r="J10" s="28">
        <f>IFERROR(ROUND(tblCost[[#This Row],[Variance (PKR)]]/tblCost[[#This Row],[Budget (PKR)]],3),0)</f>
        <v>-5.8000000000000003E-2</v>
      </c>
      <c r="M10" s="33" t="str">
        <v>AC electrical</v>
      </c>
      <c r="N10" s="34">
        <v>393500</v>
      </c>
      <c r="O10" s="34">
        <v>297300</v>
      </c>
      <c r="P10" s="34">
        <v>382300</v>
      </c>
      <c r="Q10" s="34">
        <v>11200</v>
      </c>
    </row>
    <row r="11" spans="2:17" x14ac:dyDescent="0.3">
      <c r="B11">
        <v>6</v>
      </c>
      <c r="C11" t="str">
        <f>_xlfn.XLOOKUP(tblCost[[#This Row],[Line]],tblBOM[Line],tblBOM[Item])</f>
        <v>Mid clamp</v>
      </c>
      <c r="D11" t="str">
        <f>_xlfn.XLOOKUP(tblCost[[#This Row],[Line]],tblBOM[Line],tblBOM[Category])</f>
        <v>Mounting</v>
      </c>
      <c r="E11" s="27">
        <f>_xlfn.XLOOKUP(tblCost[[#This Row],[Line]],tblBOM[Line],tblBOM[Budget (PKR)])</f>
        <v>82280</v>
      </c>
      <c r="F11" s="29">
        <v>87200</v>
      </c>
      <c r="G11" s="29">
        <v>87200</v>
      </c>
      <c r="H11" s="27">
        <f>IF(tblCost[[#This Row],[Committed (PKR)]]&gt;0,tblCost[[#This Row],[Committed (PKR)]],tblCost[[#This Row],[Budget (PKR)]])</f>
        <v>87200</v>
      </c>
      <c r="I11" s="27">
        <f>tblCost[[#This Row],[Budget (PKR)]]-tblCost[[#This Row],[Forecast (PKR)]]</f>
        <v>-4920</v>
      </c>
      <c r="J11" s="28">
        <f>IFERROR(ROUND(tblCost[[#This Row],[Variance (PKR)]]/tblCost[[#This Row],[Budget (PKR)]],3),0)</f>
        <v>-0.06</v>
      </c>
      <c r="M11" s="33" t="str">
        <v>Earthing</v>
      </c>
      <c r="N11" s="34">
        <v>104000</v>
      </c>
      <c r="O11" s="34">
        <v>104000</v>
      </c>
      <c r="P11" s="34">
        <v>104000</v>
      </c>
      <c r="Q11" s="34">
        <v>0</v>
      </c>
    </row>
    <row r="12" spans="2:17" x14ac:dyDescent="0.3">
      <c r="B12">
        <v>7</v>
      </c>
      <c r="C12" t="str">
        <f>_xlfn.XLOOKUP(tblCost[[#This Row],[Line]],tblBOM[Line],tblBOM[Item])</f>
        <v>End clamp</v>
      </c>
      <c r="D12" t="str">
        <f>_xlfn.XLOOKUP(tblCost[[#This Row],[Line]],tblBOM[Line],tblBOM[Category])</f>
        <v>Mounting</v>
      </c>
      <c r="E12" s="27">
        <f>_xlfn.XLOOKUP(tblCost[[#This Row],[Line]],tblBOM[Line],tblBOM[Budget (PKR)])</f>
        <v>10560</v>
      </c>
      <c r="F12" s="29">
        <v>11200</v>
      </c>
      <c r="G12" s="29">
        <v>11200</v>
      </c>
      <c r="H12" s="27">
        <f>IF(tblCost[[#This Row],[Committed (PKR)]]&gt;0,tblCost[[#This Row],[Committed (PKR)]],tblCost[[#This Row],[Budget (PKR)]])</f>
        <v>11200</v>
      </c>
      <c r="I12" s="27">
        <f>tblCost[[#This Row],[Budget (PKR)]]-tblCost[[#This Row],[Forecast (PKR)]]</f>
        <v>-640</v>
      </c>
      <c r="J12" s="28">
        <f>IFERROR(ROUND(tblCost[[#This Row],[Variance (PKR)]]/tblCost[[#This Row],[Budget (PKR)]],3),0)</f>
        <v>-6.0999999999999999E-2</v>
      </c>
      <c r="M12" s="33" t="str">
        <v>Labour and services</v>
      </c>
      <c r="N12" s="34">
        <v>640000</v>
      </c>
      <c r="O12" s="34">
        <v>380000</v>
      </c>
      <c r="P12" s="34">
        <v>640000</v>
      </c>
      <c r="Q12" s="34">
        <v>0</v>
      </c>
    </row>
    <row r="13" spans="2:17" x14ac:dyDescent="0.3">
      <c r="B13">
        <v>8</v>
      </c>
      <c r="C13" t="str">
        <f>_xlfn.XLOOKUP(tblCost[[#This Row],[Line]],tblBOM[Line],tblBOM[Item])</f>
        <v>Roof attachment (L-foot with fixings)</v>
      </c>
      <c r="D13" t="str">
        <f>_xlfn.XLOOKUP(tblCost[[#This Row],[Line]],tblBOM[Line],tblBOM[Category])</f>
        <v>Mounting</v>
      </c>
      <c r="E13" s="27">
        <f>_xlfn.XLOOKUP(tblCost[[#This Row],[Line]],tblBOM[Line],tblBOM[Budget (PKR)])</f>
        <v>188100</v>
      </c>
      <c r="F13" s="29">
        <v>199400</v>
      </c>
      <c r="G13" s="29">
        <v>199400</v>
      </c>
      <c r="H13" s="27">
        <f>IF(tblCost[[#This Row],[Committed (PKR)]]&gt;0,tblCost[[#This Row],[Committed (PKR)]],tblCost[[#This Row],[Budget (PKR)]])</f>
        <v>199400</v>
      </c>
      <c r="I13" s="27">
        <f>tblCost[[#This Row],[Budget (PKR)]]-tblCost[[#This Row],[Forecast (PKR)]]</f>
        <v>-11300</v>
      </c>
      <c r="J13" s="28">
        <f>IFERROR(ROUND(tblCost[[#This Row],[Variance (PKR)]]/tblCost[[#This Row],[Budget (PKR)]],3),0)</f>
        <v>-0.06</v>
      </c>
      <c r="M13" s="33" t="str">
        <v>Approvals</v>
      </c>
      <c r="N13" s="34">
        <v>200000</v>
      </c>
      <c r="O13" s="34">
        <v>200000</v>
      </c>
      <c r="P13" s="34">
        <v>200000</v>
      </c>
      <c r="Q13" s="34">
        <v>0</v>
      </c>
    </row>
    <row r="14" spans="2:17" x14ac:dyDescent="0.3">
      <c r="B14">
        <v>9</v>
      </c>
      <c r="C14" t="str">
        <f>_xlfn.XLOOKUP(tblCost[[#This Row],[Line]],tblBOM[Line],tblBOM[Item])</f>
        <v>DC solar cable 6 mm2, red</v>
      </c>
      <c r="D14" t="str">
        <f>_xlfn.XLOOKUP(tblCost[[#This Row],[Line]],tblBOM[Line],tblBOM[Category])</f>
        <v>DC electrical</v>
      </c>
      <c r="E14" s="27">
        <f>_xlfn.XLOOKUP(tblCost[[#This Row],[Line]],tblBOM[Line],tblBOM[Budget (PKR)])</f>
        <v>125840</v>
      </c>
      <c r="F14" s="29">
        <v>0</v>
      </c>
      <c r="G14" s="29">
        <v>0</v>
      </c>
      <c r="H14" s="27">
        <f>IF(tblCost[[#This Row],[Committed (PKR)]]&gt;0,tblCost[[#This Row],[Committed (PKR)]],tblCost[[#This Row],[Budget (PKR)]])</f>
        <v>125840</v>
      </c>
      <c r="I14" s="27">
        <f>tblCost[[#This Row],[Budget (PKR)]]-tblCost[[#This Row],[Forecast (PKR)]]</f>
        <v>0</v>
      </c>
      <c r="J14" s="28">
        <f>IFERROR(ROUND(tblCost[[#This Row],[Variance (PKR)]]/tblCost[[#This Row],[Budget (PKR)]],3),0)</f>
        <v>0</v>
      </c>
    </row>
    <row r="15" spans="2:17" x14ac:dyDescent="0.3">
      <c r="B15">
        <v>10</v>
      </c>
      <c r="C15" t="str">
        <f>_xlfn.XLOOKUP(tblCost[[#This Row],[Line]],tblBOM[Line],tblBOM[Item])</f>
        <v>DC solar cable 6 mm2, black</v>
      </c>
      <c r="D15" t="str">
        <f>_xlfn.XLOOKUP(tblCost[[#This Row],[Line]],tblBOM[Line],tblBOM[Category])</f>
        <v>DC electrical</v>
      </c>
      <c r="E15" s="27">
        <f>_xlfn.XLOOKUP(tblCost[[#This Row],[Line]],tblBOM[Line],tblBOM[Budget (PKR)])</f>
        <v>125840</v>
      </c>
      <c r="F15" s="29">
        <v>0</v>
      </c>
      <c r="G15" s="29">
        <v>0</v>
      </c>
      <c r="H15" s="27">
        <f>IF(tblCost[[#This Row],[Committed (PKR)]]&gt;0,tblCost[[#This Row],[Committed (PKR)]],tblCost[[#This Row],[Budget (PKR)]])</f>
        <v>125840</v>
      </c>
      <c r="I15" s="27">
        <f>tblCost[[#This Row],[Budget (PKR)]]-tblCost[[#This Row],[Forecast (PKR)]]</f>
        <v>0</v>
      </c>
      <c r="J15" s="28">
        <f>IFERROR(ROUND(tblCost[[#This Row],[Variance (PKR)]]/tblCost[[#This Row],[Budget (PKR)]],3),0)</f>
        <v>0</v>
      </c>
    </row>
    <row r="16" spans="2:17" ht="15.6" x14ac:dyDescent="0.3">
      <c r="B16">
        <v>11</v>
      </c>
      <c r="C16" t="str">
        <f>_xlfn.XLOOKUP(tblCost[[#This Row],[Line]],tblBOM[Line],tblBOM[Item])</f>
        <v>MC4 connector pair</v>
      </c>
      <c r="D16" t="str">
        <f>_xlfn.XLOOKUP(tblCost[[#This Row],[Line]],tblBOM[Line],tblBOM[Category])</f>
        <v>DC electrical</v>
      </c>
      <c r="E16" s="27">
        <f>_xlfn.XLOOKUP(tblCost[[#This Row],[Line]],tblBOM[Line],tblBOM[Budget (PKR)])</f>
        <v>8750</v>
      </c>
      <c r="F16" s="29">
        <v>0</v>
      </c>
      <c r="G16" s="29">
        <v>0</v>
      </c>
      <c r="H16" s="27">
        <f>IF(tblCost[[#This Row],[Committed (PKR)]]&gt;0,tblCost[[#This Row],[Committed (PKR)]],tblCost[[#This Row],[Budget (PKR)]])</f>
        <v>8750</v>
      </c>
      <c r="I16" s="27">
        <f>tblCost[[#This Row],[Budget (PKR)]]-tblCost[[#This Row],[Forecast (PKR)]]</f>
        <v>0</v>
      </c>
      <c r="J16" s="28">
        <f>IFERROR(ROUND(tblCost[[#This Row],[Variance (PKR)]]/tblCost[[#This Row],[Budget (PKR)]],3),0)</f>
        <v>0</v>
      </c>
      <c r="M16" s="4" t="s">
        <v>240</v>
      </c>
    </row>
    <row r="17" spans="2:15" x14ac:dyDescent="0.3">
      <c r="B17">
        <v>12</v>
      </c>
      <c r="C17" t="str">
        <f>_xlfn.XLOOKUP(tblCost[[#This Row],[Line]],tblBOM[Line],tblBOM[Item])</f>
        <v>Cable tray, perforated, galvanised</v>
      </c>
      <c r="D17" t="str">
        <f>_xlfn.XLOOKUP(tblCost[[#This Row],[Line]],tblBOM[Line],tblBOM[Category])</f>
        <v>DC electrical</v>
      </c>
      <c r="E17" s="27">
        <f>_xlfn.XLOOKUP(tblCost[[#This Row],[Line]],tblBOM[Line],tblBOM[Budget (PKR)])</f>
        <v>108000</v>
      </c>
      <c r="F17" s="29">
        <v>0</v>
      </c>
      <c r="G17" s="29">
        <v>0</v>
      </c>
      <c r="H17" s="27">
        <f>IF(tblCost[[#This Row],[Committed (PKR)]]&gt;0,tblCost[[#This Row],[Committed (PKR)]],tblCost[[#This Row],[Budget (PKR)]])</f>
        <v>108000</v>
      </c>
      <c r="I17" s="27">
        <f>tblCost[[#This Row],[Budget (PKR)]]-tblCost[[#This Row],[Forecast (PKR)]]</f>
        <v>0</v>
      </c>
      <c r="J17" s="28">
        <f>IFERROR(ROUND(tblCost[[#This Row],[Variance (PKR)]]/tblCost[[#This Row],[Budget (PKR)]],3),0)</f>
        <v>0</v>
      </c>
      <c r="M17" s="30" t="s">
        <v>241</v>
      </c>
      <c r="N17" s="30" t="s">
        <v>242</v>
      </c>
      <c r="O17" s="30" t="s">
        <v>243</v>
      </c>
    </row>
    <row r="18" spans="2:15" x14ac:dyDescent="0.3">
      <c r="B18">
        <v>13</v>
      </c>
      <c r="C18" t="str">
        <f>_xlfn.XLOOKUP(tblCost[[#This Row],[Line]],tblBOM[Line],tblBOM[Item])</f>
        <v>AC cable, 4-core 70 mm2 Cu armoured</v>
      </c>
      <c r="D18" t="str">
        <f>_xlfn.XLOOKUP(tblCost[[#This Row],[Line]],tblBOM[Line],tblBOM[Category])</f>
        <v>AC electrical</v>
      </c>
      <c r="E18" s="27">
        <f>_xlfn.XLOOKUP(tblCost[[#This Row],[Line]],tblBOM[Line],tblBOM[Budget (PKR)])</f>
        <v>280500</v>
      </c>
      <c r="F18" s="29">
        <v>269300</v>
      </c>
      <c r="G18" s="29">
        <v>0</v>
      </c>
      <c r="H18" s="27">
        <f>IF(tblCost[[#This Row],[Committed (PKR)]]&gt;0,tblCost[[#This Row],[Committed (PKR)]],tblCost[[#This Row],[Budget (PKR)]])</f>
        <v>269300</v>
      </c>
      <c r="I18" s="27">
        <f>tblCost[[#This Row],[Budget (PKR)]]-tblCost[[#This Row],[Forecast (PKR)]]</f>
        <v>11200</v>
      </c>
      <c r="J18" s="28">
        <f>IFERROR(ROUND(tblCost[[#This Row],[Variance (PKR)]]/tblCost[[#This Row],[Budget (PKR)]],3),0)</f>
        <v>0.04</v>
      </c>
      <c r="M18" s="35" cm="1">
        <f t="array" ref="M18:M26">_xlfn.SEQUENCE(9,1,StartDate+5,7)</f>
        <v>46277</v>
      </c>
      <c r="N18" s="20" cm="1">
        <f t="array" ref="N18:N26">_xlfn.LET(_xlpm.wk,_xlfn.ANCHORARRAY(M18),_xlpm.ob,_xlfn.XLOOKUP(tblCost[Line],tblProc[Line],tblProc[Order by]),_xlfn.MAP(_xlpm.wk,_xlfn.LAMBDA(_xlpm.w,SUMPRODUCT((_xlpm.ob&lt;=_xlpm.w)*tblCost[Budget (PKR)]))))</f>
        <v>839740</v>
      </c>
      <c r="O18" s="20" cm="1">
        <f t="array" ref="O18:O26">_xlfn.LET(_xlpm.wk,_xlfn.ANCHORARRAY(M18),_xlpm.pd,_xlfn.XLOOKUP(tblCost[Line],tblProc[Line],tblProc[PO date]),_xlfn.MAP(_xlpm.wk,_xlfn.LAMBDA(_xlpm.w,IF(_xlpm.w-5&gt;StatusDate,NA(),SUMPRODUCT((_xlpm.pd&lt;&gt;"")*(_xlpm.pd&lt;=MIN(_xlpm.w,StatusDate))*tblCost[Committed (PKR)])))))</f>
        <v>1170100</v>
      </c>
    </row>
    <row r="19" spans="2:15" x14ac:dyDescent="0.3">
      <c r="B19">
        <v>14</v>
      </c>
      <c r="C19" t="str">
        <f>_xlfn.XLOOKUP(tblCost[[#This Row],[Line]],tblBOM[Line],tblBOM[Item])</f>
        <v>MCCB 4-pole 200 A</v>
      </c>
      <c r="D19" t="str">
        <f>_xlfn.XLOOKUP(tblCost[[#This Row],[Line]],tblBOM[Line],tblBOM[Category])</f>
        <v>AC electrical</v>
      </c>
      <c r="E19" s="27">
        <f>_xlfn.XLOOKUP(tblCost[[#This Row],[Line]],tblBOM[Line],tblBOM[Budget (PKR)])</f>
        <v>85000</v>
      </c>
      <c r="F19" s="29">
        <v>0</v>
      </c>
      <c r="G19" s="29">
        <v>0</v>
      </c>
      <c r="H19" s="27">
        <f>IF(tblCost[[#This Row],[Committed (PKR)]]&gt;0,tblCost[[#This Row],[Committed (PKR)]],tblCost[[#This Row],[Budget (PKR)]])</f>
        <v>85000</v>
      </c>
      <c r="I19" s="27">
        <f>tblCost[[#This Row],[Budget (PKR)]]-tblCost[[#This Row],[Forecast (PKR)]]</f>
        <v>0</v>
      </c>
      <c r="J19" s="28">
        <f>IFERROR(ROUND(tblCost[[#This Row],[Variance (PKR)]]/tblCost[[#This Row],[Budget (PKR)]],3),0)</f>
        <v>0</v>
      </c>
      <c r="M19" s="35">
        <v>46284</v>
      </c>
      <c r="N19" s="20">
        <v>6229420</v>
      </c>
      <c r="O19" s="20">
        <v>6464100</v>
      </c>
    </row>
    <row r="20" spans="2:15" x14ac:dyDescent="0.3">
      <c r="B20">
        <v>15</v>
      </c>
      <c r="C20" t="str">
        <f>_xlfn.XLOOKUP(tblCost[[#This Row],[Line]],tblBOM[Line],tblBOM[Item])</f>
        <v>Surge protection device, Type 2, AC</v>
      </c>
      <c r="D20" t="str">
        <f>_xlfn.XLOOKUP(tblCost[[#This Row],[Line]],tblBOM[Line],tblBOM[Category])</f>
        <v>AC electrical</v>
      </c>
      <c r="E20" s="27">
        <f>_xlfn.XLOOKUP(tblCost[[#This Row],[Line]],tblBOM[Line],tblBOM[Budget (PKR)])</f>
        <v>28000</v>
      </c>
      <c r="F20" s="29">
        <v>28000</v>
      </c>
      <c r="G20" s="29">
        <v>0</v>
      </c>
      <c r="H20" s="27">
        <f>IF(tblCost[[#This Row],[Committed (PKR)]]&gt;0,tblCost[[#This Row],[Committed (PKR)]],tblCost[[#This Row],[Budget (PKR)]])</f>
        <v>28000</v>
      </c>
      <c r="I20" s="27">
        <f>tblCost[[#This Row],[Budget (PKR)]]-tblCost[[#This Row],[Forecast (PKR)]]</f>
        <v>0</v>
      </c>
      <c r="J20" s="28">
        <f>IFERROR(ROUND(tblCost[[#This Row],[Variance (PKR)]]/tblCost[[#This Row],[Budget (PKR)]],3),0)</f>
        <v>0</v>
      </c>
      <c r="M20" s="35">
        <v>46291</v>
      </c>
      <c r="N20" s="20">
        <v>7018350</v>
      </c>
      <c r="O20" s="20">
        <v>6464100</v>
      </c>
    </row>
    <row r="21" spans="2:15" x14ac:dyDescent="0.3">
      <c r="B21">
        <v>16</v>
      </c>
      <c r="C21" t="str">
        <f>_xlfn.XLOOKUP(tblCost[[#This Row],[Line]],tblBOM[Line],tblBOM[Item])</f>
        <v>Earth rod with inspection pit</v>
      </c>
      <c r="D21" t="str">
        <f>_xlfn.XLOOKUP(tblCost[[#This Row],[Line]],tblBOM[Line],tblBOM[Category])</f>
        <v>Earthing</v>
      </c>
      <c r="E21" s="27">
        <f>_xlfn.XLOOKUP(tblCost[[#This Row],[Line]],tblBOM[Line],tblBOM[Budget (PKR)])</f>
        <v>50000</v>
      </c>
      <c r="F21" s="29">
        <v>50000</v>
      </c>
      <c r="G21" s="29">
        <v>50000</v>
      </c>
      <c r="H21" s="27">
        <f>IF(tblCost[[#This Row],[Committed (PKR)]]&gt;0,tblCost[[#This Row],[Committed (PKR)]],tblCost[[#This Row],[Budget (PKR)]])</f>
        <v>50000</v>
      </c>
      <c r="I21" s="27">
        <f>tblCost[[#This Row],[Budget (PKR)]]-tblCost[[#This Row],[Forecast (PKR)]]</f>
        <v>0</v>
      </c>
      <c r="J21" s="28">
        <f>IFERROR(ROUND(tblCost[[#This Row],[Variance (PKR)]]/tblCost[[#This Row],[Budget (PKR)]],3),0)</f>
        <v>0</v>
      </c>
      <c r="M21" s="35">
        <v>46298</v>
      </c>
      <c r="N21" s="20">
        <v>7138350</v>
      </c>
      <c r="O21" s="20" t="e">
        <v>#N/A</v>
      </c>
    </row>
    <row r="22" spans="2:15" x14ac:dyDescent="0.3">
      <c r="B22">
        <v>17</v>
      </c>
      <c r="C22" t="str">
        <f>_xlfn.XLOOKUP(tblCost[[#This Row],[Line]],tblBOM[Line],tblBOM[Item])</f>
        <v>Earth cable 16 mm2 Cu</v>
      </c>
      <c r="D22" t="str">
        <f>_xlfn.XLOOKUP(tblCost[[#This Row],[Line]],tblBOM[Line],tblBOM[Category])</f>
        <v>Earthing</v>
      </c>
      <c r="E22" s="27">
        <f>_xlfn.XLOOKUP(tblCost[[#This Row],[Line]],tblBOM[Line],tblBOM[Budget (PKR)])</f>
        <v>54000</v>
      </c>
      <c r="F22" s="29">
        <v>54000</v>
      </c>
      <c r="G22" s="29">
        <v>54000</v>
      </c>
      <c r="H22" s="27">
        <f>IF(tblCost[[#This Row],[Committed (PKR)]]&gt;0,tblCost[[#This Row],[Committed (PKR)]],tblCost[[#This Row],[Budget (PKR)]])</f>
        <v>54000</v>
      </c>
      <c r="I22" s="27">
        <f>tblCost[[#This Row],[Budget (PKR)]]-tblCost[[#This Row],[Forecast (PKR)]]</f>
        <v>0</v>
      </c>
      <c r="J22" s="28">
        <f>IFERROR(ROUND(tblCost[[#This Row],[Variance (PKR)]]/tblCost[[#This Row],[Budget (PKR)]],3),0)</f>
        <v>0</v>
      </c>
      <c r="M22" s="35">
        <v>46305</v>
      </c>
      <c r="N22" s="20">
        <v>7138350</v>
      </c>
      <c r="O22" s="20" t="e">
        <v>#N/A</v>
      </c>
    </row>
    <row r="23" spans="2:15" x14ac:dyDescent="0.3">
      <c r="B23">
        <v>18</v>
      </c>
      <c r="C23" t="str">
        <f>_xlfn.XLOOKUP(tblCost[[#This Row],[Line]],tblBOM[Line],tblBOM[Item])</f>
        <v>Mechanical installation crew</v>
      </c>
      <c r="D23" t="str">
        <f>_xlfn.XLOOKUP(tblCost[[#This Row],[Line]],tblBOM[Line],tblBOM[Category])</f>
        <v>Labour and services</v>
      </c>
      <c r="E23" s="27">
        <f>_xlfn.XLOOKUP(tblCost[[#This Row],[Line]],tblBOM[Line],tblBOM[Budget (PKR)])</f>
        <v>150000</v>
      </c>
      <c r="F23" s="29">
        <v>150000</v>
      </c>
      <c r="G23" s="29">
        <v>0</v>
      </c>
      <c r="H23" s="27">
        <f>IF(tblCost[[#This Row],[Committed (PKR)]]&gt;0,tblCost[[#This Row],[Committed (PKR)]],tblCost[[#This Row],[Budget (PKR)]])</f>
        <v>150000</v>
      </c>
      <c r="I23" s="27">
        <f>tblCost[[#This Row],[Budget (PKR)]]-tblCost[[#This Row],[Forecast (PKR)]]</f>
        <v>0</v>
      </c>
      <c r="J23" s="28">
        <f>IFERROR(ROUND(tblCost[[#This Row],[Variance (PKR)]]/tblCost[[#This Row],[Budget (PKR)]],3),0)</f>
        <v>0</v>
      </c>
      <c r="M23" s="35">
        <v>46312</v>
      </c>
      <c r="N23" s="20">
        <v>7138350</v>
      </c>
      <c r="O23" s="20" t="e">
        <v>#N/A</v>
      </c>
    </row>
    <row r="24" spans="2:15" x14ac:dyDescent="0.3">
      <c r="B24">
        <v>19</v>
      </c>
      <c r="C24" t="str">
        <f>_xlfn.XLOOKUP(tblCost[[#This Row],[Line]],tblBOM[Line],tblBOM[Item])</f>
        <v>Electrical installation crew</v>
      </c>
      <c r="D24" t="str">
        <f>_xlfn.XLOOKUP(tblCost[[#This Row],[Line]],tblBOM[Line],tblBOM[Category])</f>
        <v>Labour and services</v>
      </c>
      <c r="E24" s="27">
        <f>_xlfn.XLOOKUP(tblCost[[#This Row],[Line]],tblBOM[Line],tblBOM[Budget (PKR)])</f>
        <v>140000</v>
      </c>
      <c r="F24" s="29">
        <v>0</v>
      </c>
      <c r="G24" s="29">
        <v>0</v>
      </c>
      <c r="H24" s="27">
        <f>IF(tblCost[[#This Row],[Committed (PKR)]]&gt;0,tblCost[[#This Row],[Committed (PKR)]],tblCost[[#This Row],[Budget (PKR)]])</f>
        <v>140000</v>
      </c>
      <c r="I24" s="27">
        <f>tblCost[[#This Row],[Budget (PKR)]]-tblCost[[#This Row],[Forecast (PKR)]]</f>
        <v>0</v>
      </c>
      <c r="J24" s="28">
        <f>IFERROR(ROUND(tblCost[[#This Row],[Variance (PKR)]]/tblCost[[#This Row],[Budget (PKR)]],3),0)</f>
        <v>0</v>
      </c>
      <c r="M24" s="35">
        <v>46319</v>
      </c>
      <c r="N24" s="20">
        <v>7138350</v>
      </c>
      <c r="O24" s="20" t="e">
        <v>#N/A</v>
      </c>
    </row>
    <row r="25" spans="2:15" x14ac:dyDescent="0.3">
      <c r="B25">
        <v>20</v>
      </c>
      <c r="C25" t="str">
        <f>_xlfn.XLOOKUP(tblCost[[#This Row],[Line]],tblBOM[Line],tblBOM[Item])</f>
        <v>Transport and lifting</v>
      </c>
      <c r="D25" t="str">
        <f>_xlfn.XLOOKUP(tblCost[[#This Row],[Line]],tblBOM[Line],tblBOM[Category])</f>
        <v>Labour and services</v>
      </c>
      <c r="E25" s="27">
        <f>_xlfn.XLOOKUP(tblCost[[#This Row],[Line]],tblBOM[Line],tblBOM[Budget (PKR)])</f>
        <v>150000</v>
      </c>
      <c r="F25" s="29">
        <v>150000</v>
      </c>
      <c r="G25" s="29">
        <v>0</v>
      </c>
      <c r="H25" s="27">
        <f>IF(tblCost[[#This Row],[Committed (PKR)]]&gt;0,tblCost[[#This Row],[Committed (PKR)]],tblCost[[#This Row],[Budget (PKR)]])</f>
        <v>150000</v>
      </c>
      <c r="I25" s="27">
        <f>tblCost[[#This Row],[Budget (PKR)]]-tblCost[[#This Row],[Forecast (PKR)]]</f>
        <v>0</v>
      </c>
      <c r="J25" s="28">
        <f>IFERROR(ROUND(tblCost[[#This Row],[Variance (PKR)]]/tblCost[[#This Row],[Budget (PKR)]],3),0)</f>
        <v>0</v>
      </c>
      <c r="M25" s="35">
        <v>46326</v>
      </c>
      <c r="N25" s="20">
        <v>7138350</v>
      </c>
      <c r="O25" s="20" t="e">
        <v>#N/A</v>
      </c>
    </row>
    <row r="26" spans="2:15" x14ac:dyDescent="0.3">
      <c r="B26">
        <v>21</v>
      </c>
      <c r="C26" t="str">
        <f>_xlfn.XLOOKUP(tblCost[[#This Row],[Line]],tblBOM[Line],tblBOM[Item])</f>
        <v>Access and safety equipment</v>
      </c>
      <c r="D26" t="str">
        <f>_xlfn.XLOOKUP(tblCost[[#This Row],[Line]],tblBOM[Line],tblBOM[Category])</f>
        <v>Labour and services</v>
      </c>
      <c r="E26" s="27">
        <f>_xlfn.XLOOKUP(tblCost[[#This Row],[Line]],tblBOM[Line],tblBOM[Budget (PKR)])</f>
        <v>80000</v>
      </c>
      <c r="F26" s="29">
        <v>80000</v>
      </c>
      <c r="G26" s="29">
        <v>80000</v>
      </c>
      <c r="H26" s="27">
        <f>IF(tblCost[[#This Row],[Committed (PKR)]]&gt;0,tblCost[[#This Row],[Committed (PKR)]],tblCost[[#This Row],[Budget (PKR)]])</f>
        <v>80000</v>
      </c>
      <c r="I26" s="27">
        <f>tblCost[[#This Row],[Budget (PKR)]]-tblCost[[#This Row],[Forecast (PKR)]]</f>
        <v>0</v>
      </c>
      <c r="J26" s="28">
        <f>IFERROR(ROUND(tblCost[[#This Row],[Variance (PKR)]]/tblCost[[#This Row],[Budget (PKR)]],3),0)</f>
        <v>0</v>
      </c>
      <c r="M26" s="35">
        <v>46333</v>
      </c>
      <c r="N26" s="20">
        <v>7138350</v>
      </c>
      <c r="O26" s="20" t="e">
        <v>#N/A</v>
      </c>
    </row>
    <row r="27" spans="2:15" x14ac:dyDescent="0.3">
      <c r="B27">
        <v>22</v>
      </c>
      <c r="C27" t="str">
        <f>_xlfn.XLOOKUP(tblCost[[#This Row],[Line]],tblBOM[Line],tblBOM[Item])</f>
        <v>Testing and commissioning</v>
      </c>
      <c r="D27" t="str">
        <f>_xlfn.XLOOKUP(tblCost[[#This Row],[Line]],tblBOM[Line],tblBOM[Category])</f>
        <v>Labour and services</v>
      </c>
      <c r="E27" s="27">
        <f>_xlfn.XLOOKUP(tblCost[[#This Row],[Line]],tblBOM[Line],tblBOM[Budget (PKR)])</f>
        <v>120000</v>
      </c>
      <c r="F27" s="29">
        <v>0</v>
      </c>
      <c r="G27" s="29">
        <v>0</v>
      </c>
      <c r="H27" s="27">
        <f>IF(tblCost[[#This Row],[Committed (PKR)]]&gt;0,tblCost[[#This Row],[Committed (PKR)]],tblCost[[#This Row],[Budget (PKR)]])</f>
        <v>120000</v>
      </c>
      <c r="I27" s="27">
        <f>tblCost[[#This Row],[Budget (PKR)]]-tblCost[[#This Row],[Forecast (PKR)]]</f>
        <v>0</v>
      </c>
      <c r="J27" s="28">
        <f>IFERROR(ROUND(tblCost[[#This Row],[Variance (PKR)]]/tblCost[[#This Row],[Budget (PKR)]],3),0)</f>
        <v>0</v>
      </c>
    </row>
    <row r="28" spans="2:15" x14ac:dyDescent="0.3">
      <c r="B28">
        <v>23</v>
      </c>
      <c r="C28" t="str">
        <f>_xlfn.XLOOKUP(tblCost[[#This Row],[Line]],tblBOM[Line],tblBOM[Item])</f>
        <v>Net-metering application and bidirectional meter</v>
      </c>
      <c r="D28" t="str">
        <f>_xlfn.XLOOKUP(tblCost[[#This Row],[Line]],tblBOM[Line],tblBOM[Category])</f>
        <v>Approvals</v>
      </c>
      <c r="E28" s="27">
        <f>_xlfn.XLOOKUP(tblCost[[#This Row],[Line]],tblBOM[Line],tblBOM[Budget (PKR)])</f>
        <v>200000</v>
      </c>
      <c r="F28" s="29">
        <v>200000</v>
      </c>
      <c r="G28" s="29">
        <v>100000</v>
      </c>
      <c r="H28" s="27">
        <f>IF(tblCost[[#This Row],[Committed (PKR)]]&gt;0,tblCost[[#This Row],[Committed (PKR)]],tblCost[[#This Row],[Budget (PKR)]])</f>
        <v>200000</v>
      </c>
      <c r="I28" s="27">
        <f>tblCost[[#This Row],[Budget (PKR)]]-tblCost[[#This Row],[Forecast (PKR)]]</f>
        <v>0</v>
      </c>
      <c r="J28" s="28">
        <f>IFERROR(ROUND(tblCost[[#This Row],[Variance (PKR)]]/tblCost[[#This Row],[Budget (PKR)]],3),0)</f>
        <v>0</v>
      </c>
      <c r="M28" s="2" t="s">
        <v>244</v>
      </c>
    </row>
    <row r="29" spans="2:15" x14ac:dyDescent="0.3">
      <c r="B29" s="68"/>
      <c r="C29" s="68" t="s">
        <v>203</v>
      </c>
      <c r="D29" s="68"/>
      <c r="E29" s="68">
        <f>SUBTOTAL(109,tblCost[Budget (PKR)])</f>
        <v>7138350</v>
      </c>
      <c r="F29" s="69">
        <f>SUBTOTAL(109,tblCost[Committed (PKR)])</f>
        <v>6464100</v>
      </c>
      <c r="G29" s="69">
        <f>SUBTOTAL(109,tblCost[Invoiced (PKR)])</f>
        <v>2104300</v>
      </c>
      <c r="H29" s="68">
        <f>SUBTOTAL(109,tblCost[Forecast (PKR)])</f>
        <v>7177530</v>
      </c>
      <c r="I29" s="68">
        <f>SUBTOTAL(109,tblCost[Variance (PKR)])</f>
        <v>-39180</v>
      </c>
      <c r="J29" s="68"/>
    </row>
  </sheetData>
  <conditionalFormatting sqref="O18:O26">
    <cfRule type="expression" dxfId="24" priority="1" stopIfTrue="1">
      <formula>ISNA($O18)</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DDF24-035E-44CD-99F0-07D1DC30B1C3}">
  <dimension ref="B2:D14"/>
  <sheetViews>
    <sheetView showGridLines="0" zoomScale="96" zoomScaleNormal="96" workbookViewId="0"/>
  </sheetViews>
  <sheetFormatPr defaultRowHeight="14.4" x14ac:dyDescent="0.3"/>
  <cols>
    <col min="1" max="1" width="2.77734375" customWidth="1"/>
    <col min="2" max="2" width="24.77734375" customWidth="1"/>
    <col min="3" max="3" width="15.77734375" customWidth="1"/>
    <col min="4" max="4" width="18.77734375" customWidth="1"/>
  </cols>
  <sheetData>
    <row r="2" spans="2:4" ht="28.05" customHeight="1" x14ac:dyDescent="0.45">
      <c r="B2" s="1" t="s">
        <v>245</v>
      </c>
    </row>
    <row r="3" spans="2:4" x14ac:dyDescent="0.3">
      <c r="B3" s="2" t="s">
        <v>246</v>
      </c>
    </row>
    <row r="5" spans="2:4" x14ac:dyDescent="0.3">
      <c r="B5" s="36" t="s">
        <v>132</v>
      </c>
      <c r="C5" t="s">
        <v>248</v>
      </c>
      <c r="D5" t="s">
        <v>249</v>
      </c>
    </row>
    <row r="6" spans="2:4" x14ac:dyDescent="0.3">
      <c r="B6" t="s">
        <v>106</v>
      </c>
      <c r="C6" s="20">
        <v>3100680</v>
      </c>
      <c r="D6" s="37">
        <v>0.43436928702010968</v>
      </c>
    </row>
    <row r="7" spans="2:4" x14ac:dyDescent="0.3">
      <c r="B7" t="s">
        <v>146</v>
      </c>
      <c r="C7" s="20">
        <v>1492000</v>
      </c>
      <c r="D7" s="37">
        <v>0.6433811735204914</v>
      </c>
    </row>
    <row r="8" spans="2:4" x14ac:dyDescent="0.3">
      <c r="B8" t="s">
        <v>151</v>
      </c>
      <c r="C8" s="20">
        <v>839740</v>
      </c>
      <c r="D8" s="37">
        <v>0.76101900299088721</v>
      </c>
    </row>
    <row r="9" spans="2:4" x14ac:dyDescent="0.3">
      <c r="B9" t="s">
        <v>185</v>
      </c>
      <c r="C9" s="20">
        <v>640000</v>
      </c>
      <c r="D9" s="37">
        <v>0.8506755762886381</v>
      </c>
    </row>
    <row r="10" spans="2:4" x14ac:dyDescent="0.3">
      <c r="B10" t="s">
        <v>173</v>
      </c>
      <c r="C10" s="20">
        <v>393500</v>
      </c>
      <c r="D10" s="37">
        <v>0.90580036002717712</v>
      </c>
    </row>
    <row r="11" spans="2:4" x14ac:dyDescent="0.3">
      <c r="B11" t="s">
        <v>163</v>
      </c>
      <c r="C11" s="20">
        <v>368430</v>
      </c>
      <c r="D11" s="37">
        <v>0.95741312768356834</v>
      </c>
    </row>
    <row r="12" spans="2:4" x14ac:dyDescent="0.3">
      <c r="B12" t="s">
        <v>200</v>
      </c>
      <c r="C12" s="20">
        <v>200000</v>
      </c>
      <c r="D12" s="37">
        <v>0.98543080683911544</v>
      </c>
    </row>
    <row r="13" spans="2:4" x14ac:dyDescent="0.3">
      <c r="B13" t="s">
        <v>180</v>
      </c>
      <c r="C13" s="20">
        <v>104000</v>
      </c>
      <c r="D13" s="37">
        <v>1</v>
      </c>
    </row>
    <row r="14" spans="2:4" x14ac:dyDescent="0.3">
      <c r="B14" t="s">
        <v>247</v>
      </c>
      <c r="C14" s="20">
        <v>7138350</v>
      </c>
      <c r="D14" s="37"/>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81236-F808-4CAD-8B65-6B9DF23A8275}">
  <dimension ref="B2:L25"/>
  <sheetViews>
    <sheetView showGridLines="0" zoomScaleNormal="100" workbookViewId="0"/>
  </sheetViews>
  <sheetFormatPr defaultRowHeight="14.4" x14ac:dyDescent="0.3"/>
  <cols>
    <col min="1" max="1" width="2.77734375" customWidth="1"/>
    <col min="2" max="2" width="30.77734375" customWidth="1"/>
    <col min="3" max="3" width="12.77734375" customWidth="1"/>
    <col min="4" max="4" width="16.77734375" customWidth="1"/>
    <col min="5" max="7" width="12.77734375" customWidth="1"/>
    <col min="8" max="8" width="14.77734375" customWidth="1"/>
    <col min="9" max="10" width="15.77734375" customWidth="1"/>
    <col min="11" max="11" width="16.77734375" customWidth="1"/>
    <col min="12" max="12" width="13.77734375" customWidth="1"/>
  </cols>
  <sheetData>
    <row r="2" spans="2:12" ht="28.05" customHeight="1" x14ac:dyDescent="0.45">
      <c r="B2" s="1" t="s">
        <v>0</v>
      </c>
    </row>
    <row r="3" spans="2:12" x14ac:dyDescent="0.3">
      <c r="B3" s="2" t="s">
        <v>1</v>
      </c>
    </row>
    <row r="5" spans="2:12" ht="15.6" x14ac:dyDescent="0.3">
      <c r="B5" s="4" t="s">
        <v>2</v>
      </c>
    </row>
    <row r="6" spans="2:12" x14ac:dyDescent="0.3">
      <c r="B6" s="5" t="s">
        <v>3</v>
      </c>
      <c r="C6" s="5" t="s">
        <v>4</v>
      </c>
      <c r="D6" s="5" t="s">
        <v>5</v>
      </c>
      <c r="E6" s="5" t="s">
        <v>6</v>
      </c>
      <c r="F6" s="5" t="s">
        <v>7</v>
      </c>
      <c r="G6" s="5" t="s">
        <v>8</v>
      </c>
      <c r="H6" s="5" t="s">
        <v>9</v>
      </c>
      <c r="I6" s="5" t="s">
        <v>10</v>
      </c>
      <c r="J6" s="5" t="s">
        <v>11</v>
      </c>
      <c r="K6" s="5" t="s">
        <v>12</v>
      </c>
      <c r="L6" s="5" t="s">
        <v>13</v>
      </c>
    </row>
    <row r="7" spans="2:12" x14ac:dyDescent="0.3">
      <c r="B7" t="s">
        <v>14</v>
      </c>
      <c r="C7">
        <v>580</v>
      </c>
      <c r="D7">
        <v>43.35</v>
      </c>
      <c r="E7">
        <v>13.38</v>
      </c>
      <c r="F7">
        <v>52.31</v>
      </c>
      <c r="G7">
        <v>14.01</v>
      </c>
      <c r="H7">
        <v>-0.25</v>
      </c>
      <c r="I7">
        <v>-0.28999999999999998</v>
      </c>
      <c r="J7">
        <v>2.278</v>
      </c>
      <c r="K7">
        <v>1.1339999999999999</v>
      </c>
      <c r="L7">
        <v>1500</v>
      </c>
    </row>
    <row r="8" spans="2:12" x14ac:dyDescent="0.3">
      <c r="B8" t="s">
        <v>15</v>
      </c>
      <c r="C8">
        <v>590</v>
      </c>
      <c r="D8">
        <v>43.71</v>
      </c>
      <c r="E8">
        <v>13.5</v>
      </c>
      <c r="F8">
        <v>52.63</v>
      </c>
      <c r="G8">
        <v>14.13</v>
      </c>
      <c r="H8">
        <v>-0.25</v>
      </c>
      <c r="I8">
        <v>-0.28999999999999998</v>
      </c>
      <c r="J8">
        <v>2.278</v>
      </c>
      <c r="K8">
        <v>1.1339999999999999</v>
      </c>
      <c r="L8">
        <v>1500</v>
      </c>
    </row>
    <row r="9" spans="2:12" x14ac:dyDescent="0.3">
      <c r="B9" t="s">
        <v>16</v>
      </c>
      <c r="C9">
        <v>600</v>
      </c>
      <c r="D9">
        <v>44.06</v>
      </c>
      <c r="E9">
        <v>13.62</v>
      </c>
      <c r="F9">
        <v>52.95</v>
      </c>
      <c r="G9">
        <v>14.25</v>
      </c>
      <c r="H9">
        <v>-0.25</v>
      </c>
      <c r="I9">
        <v>-0.28999999999999998</v>
      </c>
      <c r="J9">
        <v>2.278</v>
      </c>
      <c r="K9">
        <v>1.1339999999999999</v>
      </c>
      <c r="L9">
        <v>1500</v>
      </c>
    </row>
    <row r="12" spans="2:12" ht="15.6" x14ac:dyDescent="0.3">
      <c r="B12" s="4" t="s">
        <v>17</v>
      </c>
    </row>
    <row r="13" spans="2:12" ht="28.8" x14ac:dyDescent="0.3">
      <c r="B13" s="5" t="s">
        <v>3</v>
      </c>
      <c r="C13" s="5" t="s">
        <v>18</v>
      </c>
      <c r="D13" s="5" t="s">
        <v>19</v>
      </c>
      <c r="E13" s="5" t="s">
        <v>20</v>
      </c>
      <c r="F13" s="5" t="s">
        <v>21</v>
      </c>
      <c r="G13" s="5" t="s">
        <v>22</v>
      </c>
      <c r="H13" s="5" t="s">
        <v>23</v>
      </c>
      <c r="I13" s="5" t="s">
        <v>24</v>
      </c>
      <c r="J13" s="5" t="s">
        <v>25</v>
      </c>
      <c r="K13" s="5" t="s">
        <v>26</v>
      </c>
      <c r="L13" s="5" t="s">
        <v>27</v>
      </c>
    </row>
    <row r="14" spans="2:12" x14ac:dyDescent="0.3">
      <c r="B14" t="s">
        <v>28</v>
      </c>
      <c r="C14">
        <v>100</v>
      </c>
      <c r="D14">
        <v>1100</v>
      </c>
      <c r="E14">
        <v>200</v>
      </c>
      <c r="F14">
        <v>1000</v>
      </c>
      <c r="G14">
        <v>10</v>
      </c>
      <c r="H14">
        <v>2</v>
      </c>
      <c r="I14">
        <v>20</v>
      </c>
      <c r="J14">
        <v>30</v>
      </c>
      <c r="K14">
        <v>40</v>
      </c>
      <c r="L14">
        <v>160.4</v>
      </c>
    </row>
    <row r="17" spans="2:4" ht="15.6" x14ac:dyDescent="0.3">
      <c r="B17" s="4" t="s">
        <v>29</v>
      </c>
    </row>
    <row r="18" spans="2:4" x14ac:dyDescent="0.3">
      <c r="B18" s="5" t="s">
        <v>30</v>
      </c>
      <c r="C18" s="5" t="s">
        <v>31</v>
      </c>
      <c r="D18" s="5" t="s">
        <v>32</v>
      </c>
    </row>
    <row r="19" spans="2:4" x14ac:dyDescent="0.3">
      <c r="B19" t="s">
        <v>33</v>
      </c>
      <c r="C19">
        <v>0</v>
      </c>
      <c r="D19" s="6" cm="1">
        <f t="array" ref="D19">WORKDAY.INTL(StartDate,tblMilestones[[#This Row],[Offset (wd)]],"0000001")</f>
        <v>46272</v>
      </c>
    </row>
    <row r="20" spans="2:4" x14ac:dyDescent="0.3">
      <c r="B20" t="s">
        <v>34</v>
      </c>
      <c r="C20">
        <v>14</v>
      </c>
      <c r="D20" s="6" cm="1">
        <f t="array" ref="D20">WORKDAY.INTL(StartDate,tblMilestones[[#This Row],[Offset (wd)]],"0000001")</f>
        <v>46288</v>
      </c>
    </row>
    <row r="21" spans="2:4" x14ac:dyDescent="0.3">
      <c r="B21" t="s">
        <v>35</v>
      </c>
      <c r="C21">
        <v>15</v>
      </c>
      <c r="D21" s="6" cm="1">
        <f t="array" ref="D21">WORKDAY.INTL(StartDate,tblMilestones[[#This Row],[Offset (wd)]],"0000001")</f>
        <v>46289</v>
      </c>
    </row>
    <row r="22" spans="2:4" x14ac:dyDescent="0.3">
      <c r="B22" t="s">
        <v>36</v>
      </c>
      <c r="C22">
        <v>19</v>
      </c>
      <c r="D22" s="6" cm="1">
        <f t="array" ref="D22">WORKDAY.INTL(StartDate,tblMilestones[[#This Row],[Offset (wd)]],"0000001")</f>
        <v>46294</v>
      </c>
    </row>
    <row r="23" spans="2:4" x14ac:dyDescent="0.3">
      <c r="B23" t="s">
        <v>37</v>
      </c>
      <c r="C23">
        <v>21</v>
      </c>
      <c r="D23" s="6" cm="1">
        <f t="array" ref="D23">WORKDAY.INTL(StartDate,tblMilestones[[#This Row],[Offset (wd)]],"0000001")</f>
        <v>46296</v>
      </c>
    </row>
    <row r="24" spans="2:4" x14ac:dyDescent="0.3">
      <c r="B24" t="s">
        <v>38</v>
      </c>
      <c r="C24">
        <v>26</v>
      </c>
      <c r="D24" s="6" cm="1">
        <f t="array" ref="D24">WORKDAY.INTL(StartDate,tblMilestones[[#This Row],[Offset (wd)]],"0000001")</f>
        <v>46302</v>
      </c>
    </row>
    <row r="25" spans="2:4" x14ac:dyDescent="0.3">
      <c r="B25" t="s">
        <v>39</v>
      </c>
      <c r="C25">
        <v>45</v>
      </c>
      <c r="D25" s="6" cm="1">
        <f t="array" ref="D25">WORKDAY.INTL(StartDate,tblMilestones[[#This Row],[Offset (wd)]],"0000001")</f>
        <v>46324</v>
      </c>
    </row>
  </sheetData>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52</vt:i4>
      </vt:variant>
    </vt:vector>
  </HeadingPairs>
  <TitlesOfParts>
    <vt:vector size="59" baseType="lpstr">
      <vt:lpstr>Dashboard</vt:lpstr>
      <vt:lpstr>Design</vt:lpstr>
      <vt:lpstr>BOM</vt:lpstr>
      <vt:lpstr>Procurement</vt:lpstr>
      <vt:lpstr>Cost Control</vt:lpstr>
      <vt:lpstr>Analysis</vt:lpstr>
      <vt:lpstr>Data</vt:lpstr>
      <vt:lpstr>ACLen</vt:lpstr>
      <vt:lpstr>AttachSpacing</vt:lpstr>
      <vt:lpstr>Buffer</vt:lpstr>
      <vt:lpstr>ChecksResult</vt:lpstr>
      <vt:lpstr>DCAC</vt:lpstr>
      <vt:lpstr>DCkWp</vt:lpstr>
      <vt:lpstr>ElecCrewDays</vt:lpstr>
      <vt:lpstr>HomeRun</vt:lpstr>
      <vt:lpstr>Imp</vt:lpstr>
      <vt:lpstr>InputsPerMppt</vt:lpstr>
      <vt:lpstr>InverterList</vt:lpstr>
      <vt:lpstr>InverterModel</vt:lpstr>
      <vt:lpstr>Inverters</vt:lpstr>
      <vt:lpstr>Isc</vt:lpstr>
      <vt:lpstr>MaxDCV</vt:lpstr>
      <vt:lpstr>MaxIinput</vt:lpstr>
      <vt:lpstr>MaxImppt</vt:lpstr>
      <vt:lpstr>MaxIscMppt</vt:lpstr>
      <vt:lpstr>MaxMods</vt:lpstr>
      <vt:lpstr>MilestoneList</vt:lpstr>
      <vt:lpstr>MinMods</vt:lpstr>
      <vt:lpstr>ModGap</vt:lpstr>
      <vt:lpstr>ModMaxV</vt:lpstr>
      <vt:lpstr>ModsPerCrewDay</vt:lpstr>
      <vt:lpstr>ModsPerString</vt:lpstr>
      <vt:lpstr>ModuleList</vt:lpstr>
      <vt:lpstr>ModuleModel</vt:lpstr>
      <vt:lpstr>Modules</vt:lpstr>
      <vt:lpstr>ModW</vt:lpstr>
      <vt:lpstr>MpptMax</vt:lpstr>
      <vt:lpstr>MpptMin</vt:lpstr>
      <vt:lpstr>Mppts</vt:lpstr>
      <vt:lpstr>Pac</vt:lpstr>
      <vt:lpstr>Pmax</vt:lpstr>
      <vt:lpstr>RailLen</vt:lpstr>
      <vt:lpstr>RailsPerLine</vt:lpstr>
      <vt:lpstr>RowLen</vt:lpstr>
      <vt:lpstr>StartDate</vt:lpstr>
      <vt:lpstr>StatusDate</vt:lpstr>
      <vt:lpstr>Strings</vt:lpstr>
      <vt:lpstr>StringsPerMppt</vt:lpstr>
      <vt:lpstr>TargetRatio</vt:lpstr>
      <vt:lpstr>TkVoc</vt:lpstr>
      <vt:lpstr>Tmax</vt:lpstr>
      <vt:lpstr>Tmin</vt:lpstr>
      <vt:lpstr>TrayLen</vt:lpstr>
      <vt:lpstr>Vmp</vt:lpstr>
      <vt:lpstr>VmpCold</vt:lpstr>
      <vt:lpstr>VmpHot</vt:lpstr>
      <vt:lpstr>Voc</vt:lpstr>
      <vt:lpstr>VocCold</vt:lpstr>
      <vt:lpstr>Waste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Usama Javed</dc:creator>
  <cp:lastModifiedBy>Usama Javed</cp:lastModifiedBy>
  <dcterms:created xsi:type="dcterms:W3CDTF">2026-09-21T19:18:16Z</dcterms:created>
  <dcterms:modified xsi:type="dcterms:W3CDTF">2026-09-21T19:18:36Z</dcterms:modified>
</cp:coreProperties>
</file>